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un\Desktop\"/>
    </mc:Choice>
  </mc:AlternateContent>
  <xr:revisionPtr revIDLastSave="0" documentId="8_{34ED16B7-4216-4258-B5D9-8EF205A51EC0}" xr6:coauthVersionLast="47" xr6:coauthVersionMax="47" xr10:uidLastSave="{00000000-0000-0000-0000-000000000000}"/>
  <bookViews>
    <workbookView xWindow="28680" yWindow="-120" windowWidth="29040" windowHeight="15720" activeTab="13" xr2:uid="{2493BCF0-BA82-403C-8438-7067A87849DA}"/>
  </bookViews>
  <sheets>
    <sheet name="Q1" sheetId="1" r:id="rId1"/>
    <sheet name="Q2" sheetId="4" r:id="rId2"/>
    <sheet name="q3" sheetId="6" r:id="rId3"/>
    <sheet name="q4" sheetId="7" r:id="rId4"/>
    <sheet name="q5" sheetId="8" r:id="rId5"/>
    <sheet name="q6" sheetId="9" r:id="rId6"/>
    <sheet name="q7" sheetId="10" r:id="rId7"/>
    <sheet name="q8" sheetId="11" r:id="rId8"/>
    <sheet name="q9" sheetId="12" r:id="rId9"/>
    <sheet name="q10" sheetId="13" r:id="rId10"/>
    <sheet name="q11" sheetId="14" r:id="rId11"/>
    <sheet name="q12" sheetId="15" r:id="rId12"/>
    <sheet name="q13" sheetId="16" r:id="rId13"/>
    <sheet name="q14" sheetId="17" r:id="rId14"/>
  </sheets>
  <calcPr calcId="191029"/>
  <pivotCaches>
    <pivotCache cacheId="4" r:id="rId15"/>
    <pivotCache cacheId="9" r:id="rId16"/>
    <pivotCache cacheId="13" r:id="rId17"/>
    <pivotCache cacheId="17" r:id="rId18"/>
    <pivotCache cacheId="27" r:id="rId19"/>
    <pivotCache cacheId="33" r:id="rId20"/>
    <pivotCache cacheId="38" r:id="rId21"/>
    <pivotCache cacheId="43" r:id="rId22"/>
    <pivotCache cacheId="48" r:id="rId23"/>
    <pivotCache cacheId="55" r:id="rId24"/>
    <pivotCache cacheId="61" r:id="rId25"/>
    <pivotCache cacheId="65" r:id="rId26"/>
    <pivotCache cacheId="71" r:id="rId27"/>
    <pivotCache cacheId="76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E4" i="1"/>
  <c r="E5" i="1"/>
  <c r="E6" i="1"/>
  <c r="E7" i="1"/>
  <c r="E3" i="1"/>
  <c r="D4" i="1"/>
  <c r="D5" i="1"/>
  <c r="D6" i="1"/>
  <c r="D7" i="1"/>
  <c r="D3" i="1"/>
  <c r="B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A723D-A3DE-4220-AC84-77E00E271E58}" keepAlive="1" name="Query - q2" description="Connection to the 'q2' query in the workbook." type="5" refreshedVersion="0" background="1">
    <dbPr connection="Provider=Microsoft.Mashup.OleDb.1;Data Source=$Workbook$;Location=q2;Extended Properties=&quot;&quot;" command="SELECT * FROM [q2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<sst xmlns="http://schemas.openxmlformats.org/spreadsheetml/2006/main" count="3289" uniqueCount="358">
  <si>
    <t>ERNSH</t>
  </si>
  <si>
    <t>HUNGO</t>
  </si>
  <si>
    <t>QUICK</t>
  </si>
  <si>
    <t>RATTC</t>
  </si>
  <si>
    <t>SAVEA</t>
  </si>
  <si>
    <t>total_orders</t>
  </si>
  <si>
    <t>total_spend</t>
  </si>
  <si>
    <t>CustomerID</t>
  </si>
  <si>
    <t>Customer_Type</t>
  </si>
  <si>
    <t>Value_Segment</t>
  </si>
  <si>
    <t>Customer_Segment</t>
  </si>
  <si>
    <t>Row Labels</t>
  </si>
  <si>
    <t>High Value</t>
  </si>
  <si>
    <t>Grand Total</t>
  </si>
  <si>
    <t>Count of CustomerID</t>
  </si>
  <si>
    <t>Average of total_spend</t>
  </si>
  <si>
    <t>Country</t>
  </si>
  <si>
    <t>City</t>
  </si>
  <si>
    <t>total_customers</t>
  </si>
  <si>
    <t>total_revenue</t>
  </si>
  <si>
    <t>avg_order_value</t>
  </si>
  <si>
    <t>avg_orders_per_customer</t>
  </si>
  <si>
    <t>Germany</t>
  </si>
  <si>
    <t>Cunewalde</t>
  </si>
  <si>
    <t>Austria</t>
  </si>
  <si>
    <t>Graz</t>
  </si>
  <si>
    <t>USA</t>
  </si>
  <si>
    <t>Boise</t>
  </si>
  <si>
    <t>Ireland</t>
  </si>
  <si>
    <t>Cork</t>
  </si>
  <si>
    <t>Albuquerque</t>
  </si>
  <si>
    <t>Brazil</t>
  </si>
  <si>
    <t>Rio de Janeiro</t>
  </si>
  <si>
    <t>UK</t>
  </si>
  <si>
    <t>London</t>
  </si>
  <si>
    <t>SÃ£o Paulo</t>
  </si>
  <si>
    <t>Canada</t>
  </si>
  <si>
    <t>MontrÃ©al</t>
  </si>
  <si>
    <t>Sweden</t>
  </si>
  <si>
    <t>BrÃ¤cke</t>
  </si>
  <si>
    <t>Brandenburg</t>
  </si>
  <si>
    <t>LuleÃ¥</t>
  </si>
  <si>
    <t>MÃ¼nchen</t>
  </si>
  <si>
    <t>Mexico</t>
  </si>
  <si>
    <t>MÃ©xico D.F.</t>
  </si>
  <si>
    <t>France</t>
  </si>
  <si>
    <t>Marseille</t>
  </si>
  <si>
    <t>Salzburg</t>
  </si>
  <si>
    <t>Belgium</t>
  </si>
  <si>
    <t>Charleroi</t>
  </si>
  <si>
    <t>Venezuela</t>
  </si>
  <si>
    <t>San CristÃ³bal</t>
  </si>
  <si>
    <t>Tsawassen</t>
  </si>
  <si>
    <t>Seattle</t>
  </si>
  <si>
    <t>Strasbourg</t>
  </si>
  <si>
    <t>Eugene</t>
  </si>
  <si>
    <t>Denmark</t>
  </si>
  <si>
    <t>KÃ¸benhavn</t>
  </si>
  <si>
    <t>Barquisimeto</t>
  </si>
  <si>
    <t>Ã…rhus</t>
  </si>
  <si>
    <t>Finland</t>
  </si>
  <si>
    <t>Oulu</t>
  </si>
  <si>
    <t>Switzerland</t>
  </si>
  <si>
    <t>GenÃ¨ve</t>
  </si>
  <si>
    <t>Anchorage</t>
  </si>
  <si>
    <t>I. de Margarita</t>
  </si>
  <si>
    <t>Lander</t>
  </si>
  <si>
    <t>Portugal</t>
  </si>
  <si>
    <t>Lisboa</t>
  </si>
  <si>
    <t>KÃ¶ln</t>
  </si>
  <si>
    <t>Lille</t>
  </si>
  <si>
    <t>Spain</t>
  </si>
  <si>
    <t>Sevilla</t>
  </si>
  <si>
    <t>Bruxelles</t>
  </si>
  <si>
    <t>Toulouse</t>
  </si>
  <si>
    <t>Lyon</t>
  </si>
  <si>
    <t>Bern</t>
  </si>
  <si>
    <t>Stuttgart</t>
  </si>
  <si>
    <t>Campinas</t>
  </si>
  <si>
    <t>Argentina</t>
  </si>
  <si>
    <t>Buenos Aires</t>
  </si>
  <si>
    <t>Italy</t>
  </si>
  <si>
    <t>Bergamo</t>
  </si>
  <si>
    <t>Resende</t>
  </si>
  <si>
    <t>Madrid</t>
  </si>
  <si>
    <t>Reggio Emilia</t>
  </si>
  <si>
    <t>Cowes</t>
  </si>
  <si>
    <t>Portland</t>
  </si>
  <si>
    <t>Norway</t>
  </si>
  <si>
    <t>Stavern</t>
  </si>
  <si>
    <t>Leipzig</t>
  </si>
  <si>
    <t>MÃ¼nster</t>
  </si>
  <si>
    <t>Nantes</t>
  </si>
  <si>
    <t>Berlin</t>
  </si>
  <si>
    <t>San Francisco</t>
  </si>
  <si>
    <t>Helsinki</t>
  </si>
  <si>
    <t>Elgin</t>
  </si>
  <si>
    <t>Poland</t>
  </si>
  <si>
    <t>Warszawa</t>
  </si>
  <si>
    <t>Mannheim</t>
  </si>
  <si>
    <t>Paris</t>
  </si>
  <si>
    <t>Versailles</t>
  </si>
  <si>
    <t>Aachen</t>
  </si>
  <si>
    <t>Butte</t>
  </si>
  <si>
    <t>Kirkland</t>
  </si>
  <si>
    <t>Caracas</t>
  </si>
  <si>
    <t>Reims</t>
  </si>
  <si>
    <t>Barcelona</t>
  </si>
  <si>
    <t>Vancouver</t>
  </si>
  <si>
    <t>Walla Walla</t>
  </si>
  <si>
    <t>Torino</t>
  </si>
  <si>
    <t>Customer ID</t>
  </si>
  <si>
    <t>output</t>
  </si>
  <si>
    <t xml:space="preserve"> total_orders</t>
  </si>
  <si>
    <t>Frankfurt a.M.</t>
  </si>
  <si>
    <t>Sum of  total_orders</t>
  </si>
  <si>
    <t>Sum of total_revenue</t>
  </si>
  <si>
    <t>CategoryName</t>
  </si>
  <si>
    <t xml:space="preserve"> total_count</t>
  </si>
  <si>
    <t xml:space="preserve"> rn</t>
  </si>
  <si>
    <t>Seafood</t>
  </si>
  <si>
    <t>Dairy Products</t>
  </si>
  <si>
    <t>Beverages</t>
  </si>
  <si>
    <t>BERGS</t>
  </si>
  <si>
    <t>FOLKO</t>
  </si>
  <si>
    <t>BONAP</t>
  </si>
  <si>
    <t>LILAS</t>
  </si>
  <si>
    <t>HILAA</t>
  </si>
  <si>
    <t>FRANK</t>
  </si>
  <si>
    <t>LEHMS</t>
  </si>
  <si>
    <t>KOENE</t>
  </si>
  <si>
    <t>Confections</t>
  </si>
  <si>
    <t>LAMAI</t>
  </si>
  <si>
    <t>WARTH</t>
  </si>
  <si>
    <t>MEREP</t>
  </si>
  <si>
    <t>TORTU</t>
  </si>
  <si>
    <t>LINOD</t>
  </si>
  <si>
    <t>QUEEN</t>
  </si>
  <si>
    <t>VAFFE</t>
  </si>
  <si>
    <t>Condiments</t>
  </si>
  <si>
    <t>SUPRD</t>
  </si>
  <si>
    <t>RICSU</t>
  </si>
  <si>
    <t>BOTTM</t>
  </si>
  <si>
    <t>RICAR</t>
  </si>
  <si>
    <t>ISLAT</t>
  </si>
  <si>
    <t>HANAR</t>
  </si>
  <si>
    <t>WOLZA</t>
  </si>
  <si>
    <t>AROUT</t>
  </si>
  <si>
    <t>QUEDE</t>
  </si>
  <si>
    <t>BLONP</t>
  </si>
  <si>
    <t>WANDK</t>
  </si>
  <si>
    <t>FAMIA</t>
  </si>
  <si>
    <t>WHITC</t>
  </si>
  <si>
    <t>FURIB</t>
  </si>
  <si>
    <t>GODOS</t>
  </si>
  <si>
    <t>ANATR</t>
  </si>
  <si>
    <t>ANTON</t>
  </si>
  <si>
    <t>SEVES</t>
  </si>
  <si>
    <t>PICCO</t>
  </si>
  <si>
    <t>MAISD</t>
  </si>
  <si>
    <t>SANTG</t>
  </si>
  <si>
    <t>REGGC</t>
  </si>
  <si>
    <t>MAGAA</t>
  </si>
  <si>
    <t>WELLI</t>
  </si>
  <si>
    <t>GREAL</t>
  </si>
  <si>
    <t>OTTIK</t>
  </si>
  <si>
    <t>GOURL</t>
  </si>
  <si>
    <t>SPLIR</t>
  </si>
  <si>
    <t>BSBEV</t>
  </si>
  <si>
    <t>Grains/Cereals</t>
  </si>
  <si>
    <t>TOMSP</t>
  </si>
  <si>
    <t>CHOPS</t>
  </si>
  <si>
    <t>ALFKI</t>
  </si>
  <si>
    <t>VICTE</t>
  </si>
  <si>
    <t>LONEP</t>
  </si>
  <si>
    <t>CACTU</t>
  </si>
  <si>
    <t>EASTC</t>
  </si>
  <si>
    <t>FOLIG</t>
  </si>
  <si>
    <t>WILMK</t>
  </si>
  <si>
    <t>MORGK</t>
  </si>
  <si>
    <t>OLDWO</t>
  </si>
  <si>
    <t>LETSS</t>
  </si>
  <si>
    <t>RANCH</t>
  </si>
  <si>
    <t>VINET</t>
  </si>
  <si>
    <t>BLAUS</t>
  </si>
  <si>
    <t>FRANS</t>
  </si>
  <si>
    <t>LACOR</t>
  </si>
  <si>
    <t>TRADH</t>
  </si>
  <si>
    <t>TRAIH</t>
  </si>
  <si>
    <t>HUNGC</t>
  </si>
  <si>
    <t>Meat/Poultry</t>
  </si>
  <si>
    <t>PERIC</t>
  </si>
  <si>
    <t>OCEAN</t>
  </si>
  <si>
    <t>SIMOB</t>
  </si>
  <si>
    <t>ROMEY</t>
  </si>
  <si>
    <t>BOLID</t>
  </si>
  <si>
    <t>COMMI</t>
  </si>
  <si>
    <t>CONSH</t>
  </si>
  <si>
    <t>DRACD</t>
  </si>
  <si>
    <t>DUMON</t>
  </si>
  <si>
    <t>SPECD</t>
  </si>
  <si>
    <t>THEBI</t>
  </si>
  <si>
    <t>THECR</t>
  </si>
  <si>
    <t>LAUGB</t>
  </si>
  <si>
    <t>FRANR</t>
  </si>
  <si>
    <t>PRINI</t>
  </si>
  <si>
    <t>GALED</t>
  </si>
  <si>
    <t>NORTS</t>
  </si>
  <si>
    <t>CENTC</t>
  </si>
  <si>
    <t>LAZYK</t>
  </si>
  <si>
    <t>GROSR</t>
  </si>
  <si>
    <t>Number of Customers</t>
  </si>
  <si>
    <t>Category</t>
  </si>
  <si>
    <t>Produce</t>
  </si>
  <si>
    <t>Location_Category</t>
  </si>
  <si>
    <t>Product</t>
  </si>
  <si>
    <t>CÃ´te de Blaye</t>
  </si>
  <si>
    <t>ThÃ¼ringer Rostbratwurst</t>
  </si>
  <si>
    <t>Raclette Courdavault</t>
  </si>
  <si>
    <t>Camembert Pierrot</t>
  </si>
  <si>
    <t>Tarte au sucre</t>
  </si>
  <si>
    <t>Gnocchi di nonna Alice</t>
  </si>
  <si>
    <t>Manjimup Dried Apples</t>
  </si>
  <si>
    <t>Alice Mutton</t>
  </si>
  <si>
    <t>Carnarvon Tigers</t>
  </si>
  <si>
    <t>RÃ¶ssle Sauerkraut</t>
  </si>
  <si>
    <t>Mozzarella di Giovanni</t>
  </si>
  <si>
    <t>Ipoh Coffee</t>
  </si>
  <si>
    <t>Gudbrandsdalsost</t>
  </si>
  <si>
    <t>Sir Rodney's Marmalade</t>
  </si>
  <si>
    <t>Wimmers gute SemmelknÃ¶del</t>
  </si>
  <si>
    <t>Uncle Bob's Organic Dried Pears</t>
  </si>
  <si>
    <t>Ikura</t>
  </si>
  <si>
    <t>GumbÃ¤r GummibÃ¤rchen</t>
  </si>
  <si>
    <t>Perth Pasties</t>
  </si>
  <si>
    <t>FlÃ¸temysost</t>
  </si>
  <si>
    <t>PÃ¢tÃ© chinois</t>
  </si>
  <si>
    <t>Boston Crab Meat</t>
  </si>
  <si>
    <t>Pavlova</t>
  </si>
  <si>
    <t>Chang</t>
  </si>
  <si>
    <t>Vegie-spread</t>
  </si>
  <si>
    <t>LakkalikÃ¶Ã¶ri</t>
  </si>
  <si>
    <t>Sirop d'Ã©rable</t>
  </si>
  <si>
    <t>Gorgonzola Telino</t>
  </si>
  <si>
    <t>Schoggi Schokolade</t>
  </si>
  <si>
    <t>Nord-Ost Matjeshering</t>
  </si>
  <si>
    <t>Louisiana Fiery Hot Pepper Sauce</t>
  </si>
  <si>
    <t>Inlagd Sill</t>
  </si>
  <si>
    <t>Steeleye Stout</t>
  </si>
  <si>
    <t>Chai</t>
  </si>
  <si>
    <t>Queso Cabrales</t>
  </si>
  <si>
    <t>Northwoods Cranberry Sauce</t>
  </si>
  <si>
    <t>Chartreuse verte</t>
  </si>
  <si>
    <t>Queso Manchego La Pastora</t>
  </si>
  <si>
    <t>Outback Lager</t>
  </si>
  <si>
    <t>Gula Malacca</t>
  </si>
  <si>
    <t>Original Frankfurter grÃ¼ne SoÃŸe</t>
  </si>
  <si>
    <t>Sir Rodney's Scones</t>
  </si>
  <si>
    <t>Maxilaku</t>
  </si>
  <si>
    <t>Chef Anton's Cajun Seasoning</t>
  </si>
  <si>
    <t>Scottish Longbreads</t>
  </si>
  <si>
    <t>Singaporean Hokkien Fried Mee</t>
  </si>
  <si>
    <t>Mascarpone Fabioli</t>
  </si>
  <si>
    <t>Jack's New England Clam Chowder</t>
  </si>
  <si>
    <t>Mishi Kobe Niku</t>
  </si>
  <si>
    <t>RhÃ¶nbrÃ¤u Klosterbier</t>
  </si>
  <si>
    <t>Tofu</t>
  </si>
  <si>
    <t>Ravioli Angelo</t>
  </si>
  <si>
    <t>Grandma's Boysenberry Spread</t>
  </si>
  <si>
    <t>Gustaf's KnÃ¤ckebrÃ¶d</t>
  </si>
  <si>
    <t>Sasquatch Ale</t>
  </si>
  <si>
    <t>Escargots de Bourgogne</t>
  </si>
  <si>
    <t>Teatime Chocolate Biscuits</t>
  </si>
  <si>
    <t>Spegesild</t>
  </si>
  <si>
    <t>Chef Anton's Gumbo Mix</t>
  </si>
  <si>
    <t>Konbu</t>
  </si>
  <si>
    <t>TourtiÃ¨re</t>
  </si>
  <si>
    <t>TunnbrÃ¶d</t>
  </si>
  <si>
    <t>GuaranÃ¡ FantÃ¡stica</t>
  </si>
  <si>
    <t>RÃ¸gede sild</t>
  </si>
  <si>
    <t>Zaanse koeken</t>
  </si>
  <si>
    <t>RÃ¶d Kaviar</t>
  </si>
  <si>
    <t>NuNuCa NuÃŸ-Nougat-Creme</t>
  </si>
  <si>
    <t>Louisiana Hot Spiced Okra</t>
  </si>
  <si>
    <t>Valkoinen suklaa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</si>
  <si>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</si>
  <si>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</si>
  <si>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</si>
  <si>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</si>
  <si>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</si>
  <si>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</si>
  <si>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</si>
  <si>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</si>
  <si>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null</t>
  </si>
  <si>
    <t>analysis_type</t>
  </si>
  <si>
    <t>name</t>
  </si>
  <si>
    <t>location</t>
  </si>
  <si>
    <t>total_quantity</t>
  </si>
  <si>
    <t>contribution_percent</t>
  </si>
  <si>
    <t>Sum of contribution_percent</t>
  </si>
  <si>
    <t>country</t>
  </si>
  <si>
    <t>city</t>
  </si>
  <si>
    <t>ProductID</t>
  </si>
  <si>
    <t>order_count</t>
  </si>
  <si>
    <t>city_rank</t>
  </si>
  <si>
    <t>category_rank</t>
  </si>
  <si>
    <t>product_rank</t>
  </si>
  <si>
    <t>Sum of order_count</t>
  </si>
  <si>
    <t>(All)</t>
  </si>
  <si>
    <t>Sales Representative</t>
  </si>
  <si>
    <t>Sales Manager</t>
  </si>
  <si>
    <t>Redmond</t>
  </si>
  <si>
    <t>Inside Sales Coordinator</t>
  </si>
  <si>
    <t>Tacoma</t>
  </si>
  <si>
    <t>Vice President Sales</t>
  </si>
  <si>
    <t>title</t>
  </si>
  <si>
    <t>total_employee</t>
  </si>
  <si>
    <t>Column Labels</t>
  </si>
  <si>
    <t>Sum of total_employee</t>
  </si>
  <si>
    <t>hire_year</t>
  </si>
  <si>
    <t>total_hire</t>
  </si>
  <si>
    <t>Sum of total_hire</t>
  </si>
  <si>
    <t>Ms.</t>
  </si>
  <si>
    <t>Mr.</t>
  </si>
  <si>
    <t>Mrs.</t>
  </si>
  <si>
    <t>Dr.</t>
  </si>
  <si>
    <t>Title</t>
  </si>
  <si>
    <t>TitleOfCourtesy</t>
  </si>
  <si>
    <t>total_employees</t>
  </si>
  <si>
    <t>Sum of total_employees</t>
  </si>
  <si>
    <t>ProductName</t>
  </si>
  <si>
    <t>price</t>
  </si>
  <si>
    <t>stock</t>
  </si>
  <si>
    <t>total_quantity_sold</t>
  </si>
  <si>
    <t>Sum of price</t>
  </si>
  <si>
    <t>Sum of stock</t>
  </si>
  <si>
    <t>Sum of total_quantity_sold</t>
  </si>
  <si>
    <t>year</t>
  </si>
  <si>
    <t xml:space="preserve">month </t>
  </si>
  <si>
    <t>productname</t>
  </si>
  <si>
    <t>Sum of total_quantity</t>
  </si>
  <si>
    <t>High Anomaly</t>
  </si>
  <si>
    <t>Normal</t>
  </si>
  <si>
    <t>Low Anomaly</t>
  </si>
  <si>
    <t>revenue</t>
  </si>
  <si>
    <t>avg_revenue</t>
  </si>
  <si>
    <t>anomaly</t>
  </si>
  <si>
    <t>Sum of revenue</t>
  </si>
  <si>
    <t>Sum of avg_revenue</t>
  </si>
  <si>
    <t>Australia</t>
  </si>
  <si>
    <t>Japan</t>
  </si>
  <si>
    <t>Singapore</t>
  </si>
  <si>
    <t>Netherlands</t>
  </si>
  <si>
    <t>total_suppliers</t>
  </si>
  <si>
    <t>avg_price</t>
  </si>
  <si>
    <t>Sum of total_suppliers</t>
  </si>
  <si>
    <t>Sum of avg_price</t>
  </si>
  <si>
    <t>categoryname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</si>
</sst>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pivotCacheDefinition" Target="pivotCache/pivotCacheDefinition12.xml"/><Relationship Id="rId39" Type="http://schemas.openxmlformats.org/officeDocument/2006/relationships/customXml" Target="../customXml/item2.xml"/><Relationship Id="rId21" Type="http://schemas.openxmlformats.org/officeDocument/2006/relationships/pivotCacheDefinition" Target="pivotCache/pivotCacheDefinition7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29" Type="http://schemas.openxmlformats.org/officeDocument/2006/relationships/theme" Target="theme/theme1.xml"/><Relationship Id="rId4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0.xml"/><Relationship Id="rId32" Type="http://schemas.openxmlformats.org/officeDocument/2006/relationships/sharedStrings" Target="sharedStrings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pivotCacheDefinition" Target="pivotCache/pivotCacheDefinition9.xml"/><Relationship Id="rId28" Type="http://schemas.openxmlformats.org/officeDocument/2006/relationships/pivotCacheDefinition" Target="pivotCache/pivotCacheDefinition14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8.xml"/><Relationship Id="rId27" Type="http://schemas.openxmlformats.org/officeDocument/2006/relationships/pivotCacheDefinition" Target="pivotCache/pivotCacheDefinition13.xml"/><Relationship Id="rId30" Type="http://schemas.openxmlformats.org/officeDocument/2006/relationships/connections" Target="connection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ivotCacheDefinition" Target="pivotCache/pivotCacheDefinition11.xml"/><Relationship Id="rId33" Type="http://schemas.openxmlformats.org/officeDocument/2006/relationships/sheetMetadata" Target="metadata.xml"/><Relationship Id="rId38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solutions.xlsx]Q1!PivotTable2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'Q1'!$E$12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'Q1'!$D$13:$D$14</c:f>
              <c:strCache>
                <c:ptCount val="1"/>
                <c:pt idx="0">
                  <c:v>High Value</c:v>
                </c:pt>
              </c:strCache>
            </c:strRef>
          </c:cat>
          <c:val>
            <c:numRef>
              <c:f>'Q1'!$E$13:$E$14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1-4B12-920F-052AE8945C76}"/>
            </c:ext>
          </c:extLst>
        </c:ser>
        <c:ser>
          <c:idx val="1"/>
          <c:order val="1"/>
          <c:tx>
            <c:strRef>
              <c:f>'Q1'!$F$12</c:f>
              <c:strCache>
                <c:ptCount val="1"/>
                <c:pt idx="0">
                  <c:v>Average of total_spend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'Q1'!$D$13:$D$14</c:f>
              <c:strCache>
                <c:ptCount val="1"/>
                <c:pt idx="0">
                  <c:v>High Value</c:v>
                </c:pt>
              </c:strCache>
            </c:strRef>
          </c:cat>
          <c:val>
            <c:numRef>
              <c:f>'Q1'!$F$13:$F$14</c:f>
              <c:numCache>
                <c:formatCode>General</c:formatCode>
                <c:ptCount val="1"/>
                <c:pt idx="0">
                  <c:v>81177.191999999995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81-4B12-920F-052AE8945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783743"/>
        <c:axId val="715781823"/>
      </c:barChart>
      <c:catAx>
        <c:axId val="71578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81823"/>
        <c:crosses val="autoZero"/>
        <c:auto val="1"/>
        <c:lblAlgn val="ctr"/>
        <c:lblOffset val="100"/>
        <c:noMultiLvlLbl val="0"/>
      </c:catAx>
      <c:valAx>
        <c:axId val="71578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78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solutions.xlsx]Q2!PivotTable3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'Q2'!$P$6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'Q2'!$O$7:$O$28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'Q2'!$P$7:$P$28</c:f>
              <c:numCache>
                <c:formatCode>General</c:formatCode>
                <c:ptCount val="21"/>
                <c:pt idx="0">
                  <c:v>7738.1</c:v>
                </c:pt>
                <c:pt idx="1">
                  <c:v>118966.37999999999</c:v>
                </c:pt>
                <c:pt idx="2">
                  <c:v>32629.480000000003</c:v>
                </c:pt>
                <c:pt idx="3">
                  <c:v>106930.93</c:v>
                </c:pt>
                <c:pt idx="4">
                  <c:v>52329.3</c:v>
                </c:pt>
                <c:pt idx="5">
                  <c:v>34537.949999999997</c:v>
                </c:pt>
                <c:pt idx="6">
                  <c:v>19478.45</c:v>
                </c:pt>
                <c:pt idx="7">
                  <c:v>84186.760000000009</c:v>
                </c:pt>
                <c:pt idx="8">
                  <c:v>224786.78999999998</c:v>
                </c:pt>
                <c:pt idx="9">
                  <c:v>55871.89</c:v>
                </c:pt>
                <c:pt idx="10">
                  <c:v>14256.150000000001</c:v>
                </c:pt>
                <c:pt idx="11">
                  <c:v>23413.45</c:v>
                </c:pt>
                <c:pt idx="12">
                  <c:v>5112.8</c:v>
                </c:pt>
                <c:pt idx="13">
                  <c:v>2940.35</c:v>
                </c:pt>
                <c:pt idx="14">
                  <c:v>12468.65</c:v>
                </c:pt>
                <c:pt idx="15">
                  <c:v>18308.89</c:v>
                </c:pt>
                <c:pt idx="16">
                  <c:v>58623.7</c:v>
                </c:pt>
                <c:pt idx="17">
                  <c:v>25567.7</c:v>
                </c:pt>
                <c:pt idx="18">
                  <c:v>51782.700000000004</c:v>
                </c:pt>
                <c:pt idx="19">
                  <c:v>226084.03000000003</c:v>
                </c:pt>
                <c:pt idx="20">
                  <c:v>54964.63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7-4C11-A0C0-72CC7F4C9E36}"/>
            </c:ext>
          </c:extLst>
        </c:ser>
        <c:ser>
          <c:idx val="1"/>
          <c:order val="1"/>
          <c:tx>
            <c:strRef>
              <c:f>'Q2'!$Q$6</c:f>
              <c:strCache>
                <c:ptCount val="1"/>
                <c:pt idx="0">
                  <c:v>Sum of  total_orders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'Q2'!$O$7:$O$28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'Q2'!$Q$7:$Q$28</c:f>
              <c:numCache>
                <c:formatCode>General</c:formatCode>
                <c:ptCount val="21"/>
                <c:pt idx="0">
                  <c:v>30</c:v>
                </c:pt>
                <c:pt idx="1">
                  <c:v>112</c:v>
                </c:pt>
                <c:pt idx="2">
                  <c:v>49</c:v>
                </c:pt>
                <c:pt idx="3">
                  <c:v>189</c:v>
                </c:pt>
                <c:pt idx="4">
                  <c:v>70</c:v>
                </c:pt>
                <c:pt idx="5">
                  <c:v>45</c:v>
                </c:pt>
                <c:pt idx="6">
                  <c:v>52</c:v>
                </c:pt>
                <c:pt idx="7">
                  <c:v>179</c:v>
                </c:pt>
                <c:pt idx="8">
                  <c:v>302</c:v>
                </c:pt>
                <c:pt idx="9">
                  <c:v>52</c:v>
                </c:pt>
                <c:pt idx="10">
                  <c:v>45</c:v>
                </c:pt>
                <c:pt idx="11">
                  <c:v>69</c:v>
                </c:pt>
                <c:pt idx="12">
                  <c:v>14</c:v>
                </c:pt>
                <c:pt idx="13">
                  <c:v>15</c:v>
                </c:pt>
                <c:pt idx="14">
                  <c:v>30</c:v>
                </c:pt>
                <c:pt idx="15">
                  <c:v>46</c:v>
                </c:pt>
                <c:pt idx="16">
                  <c:v>96</c:v>
                </c:pt>
                <c:pt idx="17">
                  <c:v>43</c:v>
                </c:pt>
                <c:pt idx="18">
                  <c:v>121</c:v>
                </c:pt>
                <c:pt idx="19">
                  <c:v>299</c:v>
                </c:pt>
                <c:pt idx="2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7-4C11-A0C0-72CC7F4C9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951391"/>
        <c:axId val="1014953311"/>
      </c:barChart>
      <c:catAx>
        <c:axId val="101495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53311"/>
        <c:crosses val="autoZero"/>
        <c:auto val="1"/>
        <c:lblAlgn val="ctr"/>
        <c:lblOffset val="100"/>
        <c:noMultiLvlLbl val="0"/>
      </c:catAx>
      <c:valAx>
        <c:axId val="101495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95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solutions.xlsx]q3!PivotTable4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'q3'!$N$7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'q3'!$M$8:$M$15</c:f>
              <c:strCache>
                <c:ptCount val="7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Seafood</c:v>
                </c:pt>
              </c:strCache>
            </c:strRef>
          </c:cat>
          <c:val>
            <c:numRef>
              <c:f>'q3'!$N$8:$N$15</c:f>
              <c:numCache>
                <c:formatCode>General</c:formatCode>
                <c:ptCount val="7"/>
                <c:pt idx="0">
                  <c:v>25</c:v>
                </c:pt>
                <c:pt idx="1">
                  <c:v>8</c:v>
                </c:pt>
                <c:pt idx="2">
                  <c:v>19</c:v>
                </c:pt>
                <c:pt idx="3">
                  <c:v>20</c:v>
                </c:pt>
                <c:pt idx="4">
                  <c:v>6</c:v>
                </c:pt>
                <c:pt idx="5">
                  <c:v>1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9-4D85-9266-A893DFC18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77632"/>
        <c:axId val="118878592"/>
      </c:barChart>
      <c:catAx>
        <c:axId val="11887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8592"/>
        <c:crosses val="autoZero"/>
        <c:auto val="1"/>
        <c:lblAlgn val="ctr"/>
        <c:lblOffset val="100"/>
        <c:noMultiLvlLbl val="0"/>
      </c:catAx>
      <c:valAx>
        <c:axId val="1188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7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solutions.xlsx]q4!PivotTable5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'q4'!$R$5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'q4'!$Q$6:$Q$9</c:f>
              <c:strCache>
                <c:ptCount val="3"/>
                <c:pt idx="0">
                  <c:v>Category</c:v>
                </c:pt>
                <c:pt idx="1">
                  <c:v>Location_Category</c:v>
                </c:pt>
                <c:pt idx="2">
                  <c:v>Product</c:v>
                </c:pt>
              </c:strCache>
            </c:strRef>
          </c:cat>
          <c:val>
            <c:numRef>
              <c:f>'q4'!$R$6:$R$9</c:f>
              <c:numCache>
                <c:formatCode>General</c:formatCode>
                <c:ptCount val="3"/>
                <c:pt idx="0">
                  <c:v>1354458.59</c:v>
                </c:pt>
                <c:pt idx="1">
                  <c:v>1230979.0799999987</c:v>
                </c:pt>
                <c:pt idx="2">
                  <c:v>1354458.59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D-4C83-AD7E-37669A34252A}"/>
            </c:ext>
          </c:extLst>
        </c:ser>
        <c:ser>
          <c:idx val="1"/>
          <c:order val="1"/>
          <c:tx>
            <c:strRef>
              <c:f>'q4'!$S$5</c:f>
              <c:strCache>
                <c:ptCount val="1"/>
                <c:pt idx="0">
                  <c:v>Sum of contribution_percent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'q4'!$Q$6:$Q$9</c:f>
              <c:strCache>
                <c:ptCount val="3"/>
                <c:pt idx="0">
                  <c:v>Category</c:v>
                </c:pt>
                <c:pt idx="1">
                  <c:v>Location_Category</c:v>
                </c:pt>
                <c:pt idx="2">
                  <c:v>Product</c:v>
                </c:pt>
              </c:strCache>
            </c:strRef>
          </c:cat>
          <c:val>
            <c:numRef>
              <c:f>'q4'!$S$6:$S$9</c:f>
              <c:numCache>
                <c:formatCode>General</c:formatCode>
                <c:ptCount val="3"/>
                <c:pt idx="0">
                  <c:v>100.00999999999999</c:v>
                </c:pt>
                <c:pt idx="1">
                  <c:v>0</c:v>
                </c:pt>
                <c:pt idx="2">
                  <c:v>99.969999999999956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D-4C83-AD7E-37669A342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564448"/>
        <c:axId val="1002228479"/>
      </c:barChart>
      <c:catAx>
        <c:axId val="4355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228479"/>
        <c:crosses val="autoZero"/>
        <c:auto val="1"/>
        <c:lblAlgn val="ctr"/>
        <c:lblOffset val="100"/>
        <c:noMultiLvlLbl val="0"/>
      </c:catAx>
      <c:valAx>
        <c:axId val="10022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6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solutions.xlsx]q5!PivotTable7</c:name>
    <c:fmtId val="7"/>
  </c:pivotSource>
  <c:chart>
    <c:autoTitleDeleted val="1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'q5'!$Q$5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'q5'!$P$6:$P$90</c:f>
              <c:multiLvlStrCache>
                <c:ptCount val="21"/>
                <c:lvl>
                  <c:pt idx="0">
                    <c:v>34</c:v>
                  </c:pt>
                  <c:pt idx="1">
                    <c:v>31</c:v>
                  </c:pt>
                  <c:pt idx="2">
                    <c:v>70</c:v>
                  </c:pt>
                  <c:pt idx="3">
                    <c:v>19</c:v>
                  </c:pt>
                  <c:pt idx="4">
                    <c:v>68</c:v>
                  </c:pt>
                  <c:pt idx="5">
                    <c:v>34</c:v>
                  </c:pt>
                  <c:pt idx="6">
                    <c:v>14</c:v>
                  </c:pt>
                  <c:pt idx="7">
                    <c:v>10</c:v>
                  </c:pt>
                  <c:pt idx="8">
                    <c:v>41</c:v>
                  </c:pt>
                  <c:pt idx="9">
                    <c:v>29</c:v>
                  </c:pt>
                  <c:pt idx="10">
                    <c:v>4</c:v>
                  </c:pt>
                  <c:pt idx="11">
                    <c:v>17</c:v>
                  </c:pt>
                  <c:pt idx="12">
                    <c:v>38</c:v>
                  </c:pt>
                  <c:pt idx="13">
                    <c:v>24</c:v>
                  </c:pt>
                  <c:pt idx="14">
                    <c:v>44</c:v>
                  </c:pt>
                  <c:pt idx="15">
                    <c:v>65</c:v>
                  </c:pt>
                  <c:pt idx="16">
                    <c:v>51</c:v>
                  </c:pt>
                  <c:pt idx="17">
                    <c:v>74</c:v>
                  </c:pt>
                  <c:pt idx="18">
                    <c:v>70</c:v>
                  </c:pt>
                  <c:pt idx="19">
                    <c:v>56</c:v>
                  </c:pt>
                  <c:pt idx="20">
                    <c:v>16</c:v>
                  </c:pt>
                </c:lvl>
                <c:lvl>
                  <c:pt idx="0">
                    <c:v>Beverages</c:v>
                  </c:pt>
                  <c:pt idx="1">
                    <c:v>Dairy Products</c:v>
                  </c:pt>
                  <c:pt idx="2">
                    <c:v>Beverages</c:v>
                  </c:pt>
                  <c:pt idx="3">
                    <c:v>Confections</c:v>
                  </c:pt>
                  <c:pt idx="4">
                    <c:v>Confections</c:v>
                  </c:pt>
                  <c:pt idx="5">
                    <c:v>Beverages</c:v>
                  </c:pt>
                  <c:pt idx="6">
                    <c:v>Produce</c:v>
                  </c:pt>
                  <c:pt idx="7">
                    <c:v>Seafood</c:v>
                  </c:pt>
                  <c:pt idx="8">
                    <c:v>Seafood</c:v>
                  </c:pt>
                  <c:pt idx="9">
                    <c:v>Meat/Poultry</c:v>
                  </c:pt>
                  <c:pt idx="10">
                    <c:v>Condiments</c:v>
                  </c:pt>
                  <c:pt idx="11">
                    <c:v>Meat/Poultry</c:v>
                  </c:pt>
                  <c:pt idx="12">
                    <c:v>Beverages</c:v>
                  </c:pt>
                  <c:pt idx="13">
                    <c:v>Beverages</c:v>
                  </c:pt>
                  <c:pt idx="14">
                    <c:v>Condiments</c:v>
                  </c:pt>
                  <c:pt idx="15">
                    <c:v>Condiments</c:v>
                  </c:pt>
                  <c:pt idx="16">
                    <c:v>Produce</c:v>
                  </c:pt>
                  <c:pt idx="17">
                    <c:v>Produce</c:v>
                  </c:pt>
                  <c:pt idx="18">
                    <c:v>Beverages</c:v>
                  </c:pt>
                  <c:pt idx="19">
                    <c:v>Grains/Cereals</c:v>
                  </c:pt>
                  <c:pt idx="20">
                    <c:v>Confections</c:v>
                  </c:pt>
                </c:lvl>
                <c:lvl>
                  <c:pt idx="0">
                    <c:v>Buenos Aires</c:v>
                  </c:pt>
                  <c:pt idx="1">
                    <c:v>Graz</c:v>
                  </c:pt>
                  <c:pt idx="2">
                    <c:v>Charleroi</c:v>
                  </c:pt>
                  <c:pt idx="3">
                    <c:v>Rio de Janeiro</c:v>
                  </c:pt>
                  <c:pt idx="4">
                    <c:v>MontrÃ©al</c:v>
                  </c:pt>
                  <c:pt idx="5">
                    <c:v>Ã…rhus</c:v>
                  </c:pt>
                  <c:pt idx="6">
                    <c:v>Oulu</c:v>
                  </c:pt>
                  <c:pt idx="7">
                    <c:v>Lyon</c:v>
                  </c:pt>
                  <c:pt idx="8">
                    <c:v>KÃ¶ln</c:v>
                  </c:pt>
                  <c:pt idx="9">
                    <c:v>Cork</c:v>
                  </c:pt>
                  <c:pt idx="10">
                    <c:v>Bergamo</c:v>
                  </c:pt>
                  <c:pt idx="11">
                    <c:v>MÃ©xico D.F.</c:v>
                  </c:pt>
                  <c:pt idx="12">
                    <c:v>Stavern</c:v>
                  </c:pt>
                  <c:pt idx="13">
                    <c:v>Warszawa</c:v>
                  </c:pt>
                  <c:pt idx="14">
                    <c:v>Lisboa</c:v>
                  </c:pt>
                  <c:pt idx="15">
                    <c:v>Sevilla</c:v>
                  </c:pt>
                  <c:pt idx="16">
                    <c:v>BrÃ¤cke</c:v>
                  </c:pt>
                  <c:pt idx="17">
                    <c:v>Bern</c:v>
                  </c:pt>
                  <c:pt idx="18">
                    <c:v>London</c:v>
                  </c:pt>
                  <c:pt idx="19">
                    <c:v>Boise</c:v>
                  </c:pt>
                  <c:pt idx="20">
                    <c:v>I. de Margarita</c:v>
                  </c:pt>
                </c:lvl>
                <c:lvl>
                  <c:pt idx="0">
                    <c:v>Argentina</c:v>
                  </c:pt>
                  <c:pt idx="1">
                    <c:v>Austria</c:v>
                  </c:pt>
                  <c:pt idx="2">
                    <c:v>Belgium</c:v>
                  </c:pt>
                  <c:pt idx="3">
                    <c:v>Brazil</c:v>
                  </c:pt>
                  <c:pt idx="4">
                    <c:v>Canada</c:v>
                  </c:pt>
                  <c:pt idx="5">
                    <c:v>Denmark</c:v>
                  </c:pt>
                  <c:pt idx="6">
                    <c:v>Finland</c:v>
                  </c:pt>
                  <c:pt idx="7">
                    <c:v>France</c:v>
                  </c:pt>
                  <c:pt idx="8">
                    <c:v>Germany</c:v>
                  </c:pt>
                  <c:pt idx="9">
                    <c:v>Ireland</c:v>
                  </c:pt>
                  <c:pt idx="10">
                    <c:v>Italy</c:v>
                  </c:pt>
                  <c:pt idx="11">
                    <c:v>Mexico</c:v>
                  </c:pt>
                  <c:pt idx="12">
                    <c:v>Norway</c:v>
                  </c:pt>
                  <c:pt idx="13">
                    <c:v>Poland</c:v>
                  </c:pt>
                  <c:pt idx="14">
                    <c:v>Portugal</c:v>
                  </c:pt>
                  <c:pt idx="15">
                    <c:v>Spain</c:v>
                  </c:pt>
                  <c:pt idx="16">
                    <c:v>Sweden</c:v>
                  </c:pt>
                  <c:pt idx="17">
                    <c:v>Switzerland</c:v>
                  </c:pt>
                  <c:pt idx="18">
                    <c:v>UK</c:v>
                  </c:pt>
                  <c:pt idx="19">
                    <c:v>USA</c:v>
                  </c:pt>
                  <c:pt idx="20">
                    <c:v>Venezuela</c:v>
                  </c:pt>
                </c:lvl>
              </c:multiLvlStrCache>
            </c:multiLvlStrRef>
          </c:cat>
          <c:val>
            <c:numRef>
              <c:f>'q5'!$Q$6:$Q$90</c:f>
              <c:numCache>
                <c:formatCode>General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4-4DC3-B693-03F63158EC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70148368"/>
        <c:axId val="470147408"/>
      </c:barChart>
      <c:catAx>
        <c:axId val="470148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0147408"/>
        <c:crosses val="autoZero"/>
        <c:auto val="1"/>
        <c:lblAlgn val="ctr"/>
        <c:lblOffset val="100"/>
        <c:noMultiLvlLbl val="0"/>
      </c:catAx>
      <c:valAx>
        <c:axId val="4701474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7014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solutions.xlsx]q6!PivotTable8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'q6'!$N$4:$N$5</c:f>
              <c:strCache>
                <c:ptCount val="1"/>
                <c:pt idx="0">
                  <c:v>Inside Sales Coordinator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'q6'!$M$6:$M$13</c:f>
              <c:multiLvlStrCache>
                <c:ptCount val="5"/>
                <c:lvl>
                  <c:pt idx="0">
                    <c:v>London</c:v>
                  </c:pt>
                  <c:pt idx="1">
                    <c:v>Kirkland</c:v>
                  </c:pt>
                  <c:pt idx="2">
                    <c:v>Redmond</c:v>
                  </c:pt>
                  <c:pt idx="3">
                    <c:v>Seattle</c:v>
                  </c:pt>
                  <c:pt idx="4">
                    <c:v>Tacoma</c:v>
                  </c:pt>
                </c:lvl>
                <c:lvl>
                  <c:pt idx="0">
                    <c:v>UK</c:v>
                  </c:pt>
                  <c:pt idx="1">
                    <c:v>USA</c:v>
                  </c:pt>
                </c:lvl>
              </c:multiLvlStrCache>
            </c:multiLvlStrRef>
          </c:cat>
          <c:val>
            <c:numRef>
              <c:f>'q6'!$N$6:$N$13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4-48FB-A732-7BE1EBE16B94}"/>
            </c:ext>
          </c:extLst>
        </c:ser>
        <c:ser>
          <c:idx val="1"/>
          <c:order val="1"/>
          <c:tx>
            <c:strRef>
              <c:f>'q6'!$O$4:$O$5</c:f>
              <c:strCache>
                <c:ptCount val="1"/>
                <c:pt idx="0">
                  <c:v>Sales Manager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'q6'!$M$6:$M$13</c:f>
              <c:multiLvlStrCache>
                <c:ptCount val="5"/>
                <c:lvl>
                  <c:pt idx="0">
                    <c:v>London</c:v>
                  </c:pt>
                  <c:pt idx="1">
                    <c:v>Kirkland</c:v>
                  </c:pt>
                  <c:pt idx="2">
                    <c:v>Redmond</c:v>
                  </c:pt>
                  <c:pt idx="3">
                    <c:v>Seattle</c:v>
                  </c:pt>
                  <c:pt idx="4">
                    <c:v>Tacoma</c:v>
                  </c:pt>
                </c:lvl>
                <c:lvl>
                  <c:pt idx="0">
                    <c:v>UK</c:v>
                  </c:pt>
                  <c:pt idx="1">
                    <c:v>USA</c:v>
                  </c:pt>
                </c:lvl>
              </c:multiLvlStrCache>
            </c:multiLvlStrRef>
          </c:cat>
          <c:val>
            <c:numRef>
              <c:f>'q6'!$O$6:$O$13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4-48FB-A732-7BE1EBE16B94}"/>
            </c:ext>
          </c:extLst>
        </c:ser>
        <c:ser>
          <c:idx val="2"/>
          <c:order val="2"/>
          <c:tx>
            <c:strRef>
              <c:f>'q6'!$P$4:$P$5</c:f>
              <c:strCache>
                <c:ptCount val="1"/>
                <c:pt idx="0">
                  <c:v>Sales Representative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'q6'!$M$6:$M$13</c:f>
              <c:multiLvlStrCache>
                <c:ptCount val="5"/>
                <c:lvl>
                  <c:pt idx="0">
                    <c:v>London</c:v>
                  </c:pt>
                  <c:pt idx="1">
                    <c:v>Kirkland</c:v>
                  </c:pt>
                  <c:pt idx="2">
                    <c:v>Redmond</c:v>
                  </c:pt>
                  <c:pt idx="3">
                    <c:v>Seattle</c:v>
                  </c:pt>
                  <c:pt idx="4">
                    <c:v>Tacoma</c:v>
                  </c:pt>
                </c:lvl>
                <c:lvl>
                  <c:pt idx="0">
                    <c:v>UK</c:v>
                  </c:pt>
                  <c:pt idx="1">
                    <c:v>USA</c:v>
                  </c:pt>
                </c:lvl>
              </c:multiLvlStrCache>
            </c:multiLvlStrRef>
          </c:cat>
          <c:val>
            <c:numRef>
              <c:f>'q6'!$P$6:$P$13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4-48FB-A732-7BE1EBE16B94}"/>
            </c:ext>
          </c:extLst>
        </c:ser>
        <c:ser>
          <c:idx val="3"/>
          <c:order val="3"/>
          <c:tx>
            <c:strRef>
              <c:f>'q6'!$Q$4:$Q$5</c:f>
              <c:strCache>
                <c:ptCount val="1"/>
                <c:pt idx="0">
                  <c:v>Vice President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'q6'!$M$6:$M$13</c:f>
              <c:multiLvlStrCache>
                <c:ptCount val="5"/>
                <c:lvl>
                  <c:pt idx="0">
                    <c:v>London</c:v>
                  </c:pt>
                  <c:pt idx="1">
                    <c:v>Kirkland</c:v>
                  </c:pt>
                  <c:pt idx="2">
                    <c:v>Redmond</c:v>
                  </c:pt>
                  <c:pt idx="3">
                    <c:v>Seattle</c:v>
                  </c:pt>
                  <c:pt idx="4">
                    <c:v>Tacoma</c:v>
                  </c:pt>
                </c:lvl>
                <c:lvl>
                  <c:pt idx="0">
                    <c:v>UK</c:v>
                  </c:pt>
                  <c:pt idx="1">
                    <c:v>USA</c:v>
                  </c:pt>
                </c:lvl>
              </c:multiLvlStrCache>
            </c:multiLvlStrRef>
          </c:cat>
          <c:val>
            <c:numRef>
              <c:f>'q6'!$Q$6:$Q$13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44-48FB-A732-7BE1EBE16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4809392"/>
        <c:axId val="554819472"/>
      </c:barChart>
      <c:catAx>
        <c:axId val="5548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19472"/>
        <c:crosses val="autoZero"/>
        <c:auto val="1"/>
        <c:lblAlgn val="ctr"/>
        <c:lblOffset val="100"/>
        <c:noMultiLvlLbl val="0"/>
      </c:catAx>
      <c:valAx>
        <c:axId val="5548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0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solutions.xlsx]q7!PivotTable9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'q7'!$H$5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'q7'!$G$6:$G$15</c:f>
              <c:multiLvlStrCache>
                <c:ptCount val="6"/>
                <c:lvl>
                  <c:pt idx="0">
                    <c:v>Sales Representative</c:v>
                  </c:pt>
                  <c:pt idx="1">
                    <c:v>Vice President Sales</c:v>
                  </c:pt>
                  <c:pt idx="2">
                    <c:v>Sales Manager</c:v>
                  </c:pt>
                  <c:pt idx="3">
                    <c:v>Sales Representative</c:v>
                  </c:pt>
                  <c:pt idx="4">
                    <c:v>Inside Sales Coordinator</c:v>
                  </c:pt>
                  <c:pt idx="5">
                    <c:v>Sales Representative</c:v>
                  </c:pt>
                </c:lvl>
                <c:lvl>
                  <c:pt idx="0">
                    <c:v>1992</c:v>
                  </c:pt>
                  <c:pt idx="2">
                    <c:v>1993</c:v>
                  </c:pt>
                  <c:pt idx="4">
                    <c:v>1994</c:v>
                  </c:pt>
                </c:lvl>
              </c:multiLvlStrCache>
            </c:multiLvlStrRef>
          </c:cat>
          <c:val>
            <c:numRef>
              <c:f>'q7'!$H$6:$H$15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5-492E-AEA2-30A0E6AB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4818032"/>
        <c:axId val="554817552"/>
      </c:lineChart>
      <c:catAx>
        <c:axId val="55481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17552"/>
        <c:crosses val="autoZero"/>
        <c:auto val="1"/>
        <c:lblAlgn val="ctr"/>
        <c:lblOffset val="100"/>
        <c:noMultiLvlLbl val="0"/>
      </c:catAx>
      <c:valAx>
        <c:axId val="55481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1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solutions.xlsx]q8!PivotTable10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'q8'!$M$4:$M$14</c:f>
              <c:multiLvlStrCache>
                <c:ptCount val="6"/>
                <c:lvl>
                  <c:pt idx="0">
                    <c:v>Vice President Sales</c:v>
                  </c:pt>
                  <c:pt idx="1">
                    <c:v>Sales Manager</c:v>
                  </c:pt>
                  <c:pt idx="2">
                    <c:v>Sales Representative</c:v>
                  </c:pt>
                  <c:pt idx="3">
                    <c:v>Sales Representative</c:v>
                  </c:pt>
                  <c:pt idx="4">
                    <c:v>Inside Sales Coordinator</c:v>
                  </c:pt>
                  <c:pt idx="5">
                    <c:v>Sales Representative</c:v>
                  </c:pt>
                </c:lvl>
                <c:lvl>
                  <c:pt idx="0">
                    <c:v>Dr.</c:v>
                  </c:pt>
                  <c:pt idx="1">
                    <c:v>Mr.</c:v>
                  </c:pt>
                  <c:pt idx="3">
                    <c:v>Mrs.</c:v>
                  </c:pt>
                  <c:pt idx="4">
                    <c:v>Ms.</c:v>
                  </c:pt>
                </c:lvl>
              </c:multiLvlStrCache>
            </c:multiLvlStrRef>
          </c:cat>
          <c:val>
            <c:numRef>
              <c:f>'q8'!$N$4:$N$14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4-4928-82AD-68E9F9DCB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994320"/>
        <c:axId val="453985200"/>
      </c:barChart>
      <c:catAx>
        <c:axId val="45399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85200"/>
        <c:crosses val="autoZero"/>
        <c:auto val="1"/>
        <c:lblAlgn val="ctr"/>
        <c:lblOffset val="100"/>
        <c:noMultiLvlLbl val="0"/>
      </c:catAx>
      <c:valAx>
        <c:axId val="45398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99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solutions.xlsx]q9!PivotTable11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'q9'!$N$7</c:f>
              <c:strCache>
                <c:ptCount val="1"/>
                <c:pt idx="0">
                  <c:v>Sum of 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'q9'!$M$8:$M$85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'q9'!$N$8:$N$85</c:f>
              <c:numCache>
                <c:formatCode>General</c:formatCode>
                <c:ptCount val="77"/>
                <c:pt idx="0">
                  <c:v>35482.199999999997</c:v>
                </c:pt>
                <c:pt idx="1">
                  <c:v>3080</c:v>
                </c:pt>
                <c:pt idx="2">
                  <c:v>19048.3</c:v>
                </c:pt>
                <c:pt idx="3">
                  <c:v>149984.20000000001</c:v>
                </c:pt>
                <c:pt idx="4">
                  <c:v>50286</c:v>
                </c:pt>
                <c:pt idx="5">
                  <c:v>31987.5</c:v>
                </c:pt>
                <c:pt idx="6">
                  <c:v>14277.6</c:v>
                </c:pt>
                <c:pt idx="7">
                  <c:v>18559.2</c:v>
                </c:pt>
                <c:pt idx="8">
                  <c:v>13150.8</c:v>
                </c:pt>
                <c:pt idx="9">
                  <c:v>9424.7999999999993</c:v>
                </c:pt>
                <c:pt idx="10">
                  <c:v>5801.15</c:v>
                </c:pt>
                <c:pt idx="11">
                  <c:v>1542.75</c:v>
                </c:pt>
                <c:pt idx="12">
                  <c:v>6664.75</c:v>
                </c:pt>
                <c:pt idx="13">
                  <c:v>3383.8</c:v>
                </c:pt>
                <c:pt idx="14">
                  <c:v>20876.5</c:v>
                </c:pt>
                <c:pt idx="15">
                  <c:v>1713.5</c:v>
                </c:pt>
                <c:pt idx="16">
                  <c:v>1813.5</c:v>
                </c:pt>
                <c:pt idx="17">
                  <c:v>45121.2</c:v>
                </c:pt>
                <c:pt idx="18">
                  <c:v>16172.5</c:v>
                </c:pt>
                <c:pt idx="19">
                  <c:v>7345</c:v>
                </c:pt>
                <c:pt idx="20">
                  <c:v>3047.2</c:v>
                </c:pt>
                <c:pt idx="21">
                  <c:v>4782.6000000000004</c:v>
                </c:pt>
                <c:pt idx="22">
                  <c:v>24307.200000000001</c:v>
                </c:pt>
                <c:pt idx="23">
                  <c:v>10524.2</c:v>
                </c:pt>
                <c:pt idx="24">
                  <c:v>21534.9</c:v>
                </c:pt>
                <c:pt idx="25">
                  <c:v>7232.4</c:v>
                </c:pt>
                <c:pt idx="26">
                  <c:v>22140.2</c:v>
                </c:pt>
                <c:pt idx="27">
                  <c:v>14542.6</c:v>
                </c:pt>
                <c:pt idx="28">
                  <c:v>25079.200000000001</c:v>
                </c:pt>
                <c:pt idx="29">
                  <c:v>9098.1</c:v>
                </c:pt>
                <c:pt idx="30">
                  <c:v>5234.3999999999996</c:v>
                </c:pt>
                <c:pt idx="31">
                  <c:v>16794</c:v>
                </c:pt>
                <c:pt idx="32">
                  <c:v>2562</c:v>
                </c:pt>
                <c:pt idx="33">
                  <c:v>2566</c:v>
                </c:pt>
                <c:pt idx="34">
                  <c:v>14607</c:v>
                </c:pt>
                <c:pt idx="35">
                  <c:v>3519</c:v>
                </c:pt>
                <c:pt idx="36">
                  <c:v>44742.6</c:v>
                </c:pt>
                <c:pt idx="37">
                  <c:v>9171.2000000000007</c:v>
                </c:pt>
                <c:pt idx="38">
                  <c:v>9500</c:v>
                </c:pt>
                <c:pt idx="39">
                  <c:v>8827</c:v>
                </c:pt>
                <c:pt idx="40">
                  <c:v>25738.799999999999</c:v>
                </c:pt>
                <c:pt idx="41">
                  <c:v>14775.54</c:v>
                </c:pt>
                <c:pt idx="42">
                  <c:v>13760</c:v>
                </c:pt>
                <c:pt idx="43">
                  <c:v>4051.6</c:v>
                </c:pt>
                <c:pt idx="44">
                  <c:v>9685</c:v>
                </c:pt>
                <c:pt idx="45">
                  <c:v>11472</c:v>
                </c:pt>
                <c:pt idx="46">
                  <c:v>19512</c:v>
                </c:pt>
                <c:pt idx="47">
                  <c:v>18748.05</c:v>
                </c:pt>
                <c:pt idx="48">
                  <c:v>21510.2</c:v>
                </c:pt>
                <c:pt idx="49">
                  <c:v>13902</c:v>
                </c:pt>
                <c:pt idx="50">
                  <c:v>12866.8</c:v>
                </c:pt>
                <c:pt idx="51">
                  <c:v>4740.5</c:v>
                </c:pt>
                <c:pt idx="52">
                  <c:v>4200</c:v>
                </c:pt>
                <c:pt idx="53">
                  <c:v>26865.599999999999</c:v>
                </c:pt>
                <c:pt idx="54">
                  <c:v>76296</c:v>
                </c:pt>
                <c:pt idx="55">
                  <c:v>7807.8</c:v>
                </c:pt>
                <c:pt idx="56">
                  <c:v>8650.5499999999993</c:v>
                </c:pt>
                <c:pt idx="57">
                  <c:v>6678</c:v>
                </c:pt>
                <c:pt idx="58">
                  <c:v>15231.5</c:v>
                </c:pt>
                <c:pt idx="59">
                  <c:v>9362.5</c:v>
                </c:pt>
                <c:pt idx="60">
                  <c:v>9332.4</c:v>
                </c:pt>
                <c:pt idx="61">
                  <c:v>23635.8</c:v>
                </c:pt>
                <c:pt idx="62">
                  <c:v>9636</c:v>
                </c:pt>
                <c:pt idx="63">
                  <c:v>16438.8</c:v>
                </c:pt>
                <c:pt idx="64">
                  <c:v>6144</c:v>
                </c:pt>
                <c:pt idx="65">
                  <c:v>14536.8</c:v>
                </c:pt>
                <c:pt idx="66">
                  <c:v>49827.9</c:v>
                </c:pt>
                <c:pt idx="67">
                  <c:v>6159.5</c:v>
                </c:pt>
                <c:pt idx="68">
                  <c:v>87736.4</c:v>
                </c:pt>
                <c:pt idx="69">
                  <c:v>8630.4</c:v>
                </c:pt>
                <c:pt idx="70">
                  <c:v>5121</c:v>
                </c:pt>
                <c:pt idx="71">
                  <c:v>4840.2</c:v>
                </c:pt>
                <c:pt idx="72">
                  <c:v>22464</c:v>
                </c:pt>
                <c:pt idx="73">
                  <c:v>3510</c:v>
                </c:pt>
                <c:pt idx="74">
                  <c:v>17696.3</c:v>
                </c:pt>
                <c:pt idx="75">
                  <c:v>23009</c:v>
                </c:pt>
                <c:pt idx="76">
                  <c:v>4358.6000000000004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7-4813-906B-32F30615A09A}"/>
            </c:ext>
          </c:extLst>
        </c:ser>
        <c:ser>
          <c:idx val="1"/>
          <c:order val="1"/>
          <c:tx>
            <c:strRef>
              <c:f>'q9'!$O$7</c:f>
              <c:strCache>
                <c:ptCount val="1"/>
                <c:pt idx="0">
                  <c:v>Sum of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'q9'!$M$8:$M$85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'q9'!$O$8:$O$85</c:f>
              <c:numCache>
                <c:formatCode>General</c:formatCode>
                <c:ptCount val="77"/>
                <c:pt idx="0">
                  <c:v>39</c:v>
                </c:pt>
                <c:pt idx="1">
                  <c:v>10</c:v>
                </c:pt>
                <c:pt idx="2">
                  <c:v>18.399999999999999</c:v>
                </c:pt>
                <c:pt idx="3">
                  <c:v>263.5</c:v>
                </c:pt>
                <c:pt idx="4">
                  <c:v>34</c:v>
                </c:pt>
                <c:pt idx="5">
                  <c:v>62.5</c:v>
                </c:pt>
                <c:pt idx="6">
                  <c:v>18</c:v>
                </c:pt>
                <c:pt idx="7">
                  <c:v>19</c:v>
                </c:pt>
                <c:pt idx="8">
                  <c:v>18</c:v>
                </c:pt>
                <c:pt idx="9">
                  <c:v>22</c:v>
                </c:pt>
                <c:pt idx="10">
                  <c:v>21.35</c:v>
                </c:pt>
                <c:pt idx="11">
                  <c:v>12.75</c:v>
                </c:pt>
                <c:pt idx="12">
                  <c:v>13.25</c:v>
                </c:pt>
                <c:pt idx="13">
                  <c:v>7</c:v>
                </c:pt>
                <c:pt idx="14">
                  <c:v>21.5</c:v>
                </c:pt>
                <c:pt idx="15">
                  <c:v>2.5</c:v>
                </c:pt>
                <c:pt idx="16">
                  <c:v>15.5</c:v>
                </c:pt>
                <c:pt idx="17">
                  <c:v>38</c:v>
                </c:pt>
                <c:pt idx="18">
                  <c:v>12.5</c:v>
                </c:pt>
                <c:pt idx="19">
                  <c:v>25</c:v>
                </c:pt>
                <c:pt idx="20">
                  <c:v>26</c:v>
                </c:pt>
                <c:pt idx="21">
                  <c:v>4.5</c:v>
                </c:pt>
                <c:pt idx="22">
                  <c:v>36</c:v>
                </c:pt>
                <c:pt idx="23">
                  <c:v>19.45</c:v>
                </c:pt>
                <c:pt idx="24">
                  <c:v>31.23</c:v>
                </c:pt>
                <c:pt idx="25">
                  <c:v>21</c:v>
                </c:pt>
                <c:pt idx="26">
                  <c:v>31</c:v>
                </c:pt>
                <c:pt idx="27">
                  <c:v>19</c:v>
                </c:pt>
                <c:pt idx="28">
                  <c:v>46</c:v>
                </c:pt>
                <c:pt idx="29">
                  <c:v>9.65</c:v>
                </c:pt>
                <c:pt idx="30">
                  <c:v>6</c:v>
                </c:pt>
                <c:pt idx="31">
                  <c:v>18</c:v>
                </c:pt>
                <c:pt idx="32">
                  <c:v>14</c:v>
                </c:pt>
                <c:pt idx="33">
                  <c:v>10</c:v>
                </c:pt>
                <c:pt idx="34">
                  <c:v>21.05</c:v>
                </c:pt>
                <c:pt idx="35">
                  <c:v>17</c:v>
                </c:pt>
                <c:pt idx="36">
                  <c:v>53</c:v>
                </c:pt>
                <c:pt idx="37">
                  <c:v>32</c:v>
                </c:pt>
                <c:pt idx="38">
                  <c:v>20</c:v>
                </c:pt>
                <c:pt idx="39">
                  <c:v>97</c:v>
                </c:pt>
                <c:pt idx="40">
                  <c:v>34.799999999999997</c:v>
                </c:pt>
                <c:pt idx="41">
                  <c:v>25.89</c:v>
                </c:pt>
                <c:pt idx="42">
                  <c:v>40</c:v>
                </c:pt>
                <c:pt idx="43">
                  <c:v>14</c:v>
                </c:pt>
                <c:pt idx="44">
                  <c:v>13</c:v>
                </c:pt>
                <c:pt idx="45">
                  <c:v>15</c:v>
                </c:pt>
                <c:pt idx="46">
                  <c:v>24</c:v>
                </c:pt>
                <c:pt idx="47">
                  <c:v>17.45</c:v>
                </c:pt>
                <c:pt idx="48">
                  <c:v>32.799999999999997</c:v>
                </c:pt>
                <c:pt idx="49">
                  <c:v>21</c:v>
                </c:pt>
                <c:pt idx="50">
                  <c:v>38</c:v>
                </c:pt>
                <c:pt idx="51">
                  <c:v>9.5</c:v>
                </c:pt>
                <c:pt idx="52">
                  <c:v>15</c:v>
                </c:pt>
                <c:pt idx="53">
                  <c:v>45.6</c:v>
                </c:pt>
                <c:pt idx="54">
                  <c:v>55</c:v>
                </c:pt>
                <c:pt idx="55">
                  <c:v>19.5</c:v>
                </c:pt>
                <c:pt idx="56">
                  <c:v>7.75</c:v>
                </c:pt>
                <c:pt idx="57">
                  <c:v>14</c:v>
                </c:pt>
                <c:pt idx="58">
                  <c:v>43.9</c:v>
                </c:pt>
                <c:pt idx="59">
                  <c:v>12.5</c:v>
                </c:pt>
                <c:pt idx="60">
                  <c:v>14</c:v>
                </c:pt>
                <c:pt idx="61">
                  <c:v>81</c:v>
                </c:pt>
                <c:pt idx="62">
                  <c:v>10</c:v>
                </c:pt>
                <c:pt idx="63">
                  <c:v>28.5</c:v>
                </c:pt>
                <c:pt idx="64">
                  <c:v>12</c:v>
                </c:pt>
                <c:pt idx="65">
                  <c:v>18</c:v>
                </c:pt>
                <c:pt idx="66">
                  <c:v>49.3</c:v>
                </c:pt>
                <c:pt idx="67">
                  <c:v>9.1999999999999993</c:v>
                </c:pt>
                <c:pt idx="68">
                  <c:v>123.79</c:v>
                </c:pt>
                <c:pt idx="69">
                  <c:v>23.25</c:v>
                </c:pt>
                <c:pt idx="70">
                  <c:v>7.45</c:v>
                </c:pt>
                <c:pt idx="71">
                  <c:v>9</c:v>
                </c:pt>
                <c:pt idx="72">
                  <c:v>30</c:v>
                </c:pt>
                <c:pt idx="73">
                  <c:v>16.25</c:v>
                </c:pt>
                <c:pt idx="74">
                  <c:v>43.9</c:v>
                </c:pt>
                <c:pt idx="75">
                  <c:v>33.25</c:v>
                </c:pt>
                <c:pt idx="76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7-4813-906B-32F30615A09A}"/>
            </c:ext>
          </c:extLst>
        </c:ser>
        <c:ser>
          <c:idx val="2"/>
          <c:order val="2"/>
          <c:tx>
            <c:strRef>
              <c:f>'q9'!$P$7</c:f>
              <c:strCache>
                <c:ptCount val="1"/>
                <c:pt idx="0">
                  <c:v>Sum of stock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'q9'!$M$8:$M$85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'q9'!$P$8:$P$85</c:f>
              <c:numCache>
                <c:formatCode>General</c:formatCode>
                <c:ptCount val="77"/>
                <c:pt idx="0">
                  <c:v>0</c:v>
                </c:pt>
                <c:pt idx="1">
                  <c:v>13</c:v>
                </c:pt>
                <c:pt idx="2">
                  <c:v>123</c:v>
                </c:pt>
                <c:pt idx="3">
                  <c:v>17</c:v>
                </c:pt>
                <c:pt idx="4">
                  <c:v>19</c:v>
                </c:pt>
                <c:pt idx="5">
                  <c:v>42</c:v>
                </c:pt>
                <c:pt idx="6">
                  <c:v>39</c:v>
                </c:pt>
                <c:pt idx="7">
                  <c:v>17</c:v>
                </c:pt>
                <c:pt idx="8">
                  <c:v>69</c:v>
                </c:pt>
                <c:pt idx="9">
                  <c:v>53</c:v>
                </c:pt>
                <c:pt idx="10">
                  <c:v>0</c:v>
                </c:pt>
                <c:pt idx="11">
                  <c:v>15</c:v>
                </c:pt>
                <c:pt idx="12">
                  <c:v>62</c:v>
                </c:pt>
                <c:pt idx="13">
                  <c:v>38</c:v>
                </c:pt>
                <c:pt idx="14">
                  <c:v>26</c:v>
                </c:pt>
                <c:pt idx="15">
                  <c:v>112</c:v>
                </c:pt>
                <c:pt idx="16">
                  <c:v>39</c:v>
                </c:pt>
                <c:pt idx="17">
                  <c:v>21</c:v>
                </c:pt>
                <c:pt idx="18">
                  <c:v>0</c:v>
                </c:pt>
                <c:pt idx="19">
                  <c:v>120</c:v>
                </c:pt>
                <c:pt idx="20">
                  <c:v>11</c:v>
                </c:pt>
                <c:pt idx="21">
                  <c:v>20</c:v>
                </c:pt>
                <c:pt idx="22">
                  <c:v>26</c:v>
                </c:pt>
                <c:pt idx="23">
                  <c:v>27</c:v>
                </c:pt>
                <c:pt idx="24">
                  <c:v>15</c:v>
                </c:pt>
                <c:pt idx="25">
                  <c:v>104</c:v>
                </c:pt>
                <c:pt idx="26">
                  <c:v>31</c:v>
                </c:pt>
                <c:pt idx="27">
                  <c:v>112</c:v>
                </c:pt>
                <c:pt idx="28">
                  <c:v>17</c:v>
                </c:pt>
                <c:pt idx="29">
                  <c:v>85</c:v>
                </c:pt>
                <c:pt idx="30">
                  <c:v>24</c:v>
                </c:pt>
                <c:pt idx="31">
                  <c:v>57</c:v>
                </c:pt>
                <c:pt idx="32">
                  <c:v>52</c:v>
                </c:pt>
                <c:pt idx="33">
                  <c:v>4</c:v>
                </c:pt>
                <c:pt idx="34">
                  <c:v>76</c:v>
                </c:pt>
                <c:pt idx="35">
                  <c:v>4</c:v>
                </c:pt>
                <c:pt idx="36">
                  <c:v>20</c:v>
                </c:pt>
                <c:pt idx="37">
                  <c:v>9</c:v>
                </c:pt>
                <c:pt idx="38">
                  <c:v>10</c:v>
                </c:pt>
                <c:pt idx="39">
                  <c:v>29</c:v>
                </c:pt>
                <c:pt idx="40">
                  <c:v>14</c:v>
                </c:pt>
                <c:pt idx="41">
                  <c:v>10</c:v>
                </c:pt>
                <c:pt idx="42">
                  <c:v>6</c:v>
                </c:pt>
                <c:pt idx="43">
                  <c:v>76</c:v>
                </c:pt>
                <c:pt idx="44">
                  <c:v>32</c:v>
                </c:pt>
                <c:pt idx="45">
                  <c:v>15</c:v>
                </c:pt>
                <c:pt idx="46">
                  <c:v>115</c:v>
                </c:pt>
                <c:pt idx="47">
                  <c:v>29</c:v>
                </c:pt>
                <c:pt idx="48">
                  <c:v>0</c:v>
                </c:pt>
                <c:pt idx="49">
                  <c:v>22</c:v>
                </c:pt>
                <c:pt idx="50">
                  <c:v>86</c:v>
                </c:pt>
                <c:pt idx="51">
                  <c:v>5</c:v>
                </c:pt>
                <c:pt idx="52">
                  <c:v>101</c:v>
                </c:pt>
                <c:pt idx="53">
                  <c:v>26</c:v>
                </c:pt>
                <c:pt idx="54">
                  <c:v>79</c:v>
                </c:pt>
                <c:pt idx="55">
                  <c:v>36</c:v>
                </c:pt>
                <c:pt idx="56">
                  <c:v>125</c:v>
                </c:pt>
                <c:pt idx="57">
                  <c:v>111</c:v>
                </c:pt>
                <c:pt idx="58">
                  <c:v>49</c:v>
                </c:pt>
                <c:pt idx="59">
                  <c:v>6</c:v>
                </c:pt>
                <c:pt idx="60">
                  <c:v>26</c:v>
                </c:pt>
                <c:pt idx="61">
                  <c:v>40</c:v>
                </c:pt>
                <c:pt idx="62">
                  <c:v>3</c:v>
                </c:pt>
                <c:pt idx="63">
                  <c:v>113</c:v>
                </c:pt>
                <c:pt idx="64">
                  <c:v>95</c:v>
                </c:pt>
                <c:pt idx="65">
                  <c:v>20</c:v>
                </c:pt>
                <c:pt idx="66">
                  <c:v>17</c:v>
                </c:pt>
                <c:pt idx="67">
                  <c:v>25</c:v>
                </c:pt>
                <c:pt idx="68">
                  <c:v>0</c:v>
                </c:pt>
                <c:pt idx="69">
                  <c:v>35</c:v>
                </c:pt>
                <c:pt idx="70">
                  <c:v>21</c:v>
                </c:pt>
                <c:pt idx="71">
                  <c:v>61</c:v>
                </c:pt>
                <c:pt idx="72">
                  <c:v>15</c:v>
                </c:pt>
                <c:pt idx="73">
                  <c:v>65</c:v>
                </c:pt>
                <c:pt idx="74">
                  <c:v>24</c:v>
                </c:pt>
                <c:pt idx="75">
                  <c:v>22</c:v>
                </c:pt>
                <c:pt idx="76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7-4813-906B-32F30615A09A}"/>
            </c:ext>
          </c:extLst>
        </c:ser>
        <c:ser>
          <c:idx val="3"/>
          <c:order val="3"/>
          <c:tx>
            <c:strRef>
              <c:f>'q9'!$Q$7</c:f>
              <c:strCache>
                <c:ptCount val="1"/>
                <c:pt idx="0">
                  <c:v>Sum of total_quantity_sold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'q9'!$M$8:$M$85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'q9'!$Q$8:$Q$85</c:f>
              <c:numCache>
                <c:formatCode>General</c:formatCode>
                <c:ptCount val="77"/>
                <c:pt idx="0">
                  <c:v>978</c:v>
                </c:pt>
                <c:pt idx="1">
                  <c:v>328</c:v>
                </c:pt>
                <c:pt idx="2">
                  <c:v>1103</c:v>
                </c:pt>
                <c:pt idx="3">
                  <c:v>623</c:v>
                </c:pt>
                <c:pt idx="4">
                  <c:v>1577</c:v>
                </c:pt>
                <c:pt idx="5">
                  <c:v>539</c:v>
                </c:pt>
                <c:pt idx="6">
                  <c:v>828</c:v>
                </c:pt>
                <c:pt idx="7">
                  <c:v>1057</c:v>
                </c:pt>
                <c:pt idx="8">
                  <c:v>793</c:v>
                </c:pt>
                <c:pt idx="9">
                  <c:v>453</c:v>
                </c:pt>
                <c:pt idx="10">
                  <c:v>298</c:v>
                </c:pt>
                <c:pt idx="11">
                  <c:v>138</c:v>
                </c:pt>
                <c:pt idx="12">
                  <c:v>534</c:v>
                </c:pt>
                <c:pt idx="13">
                  <c:v>500</c:v>
                </c:pt>
                <c:pt idx="14">
                  <c:v>1057</c:v>
                </c:pt>
                <c:pt idx="15">
                  <c:v>755</c:v>
                </c:pt>
                <c:pt idx="16">
                  <c:v>122</c:v>
                </c:pt>
                <c:pt idx="17">
                  <c:v>1263</c:v>
                </c:pt>
                <c:pt idx="18">
                  <c:v>1397</c:v>
                </c:pt>
                <c:pt idx="19">
                  <c:v>301</c:v>
                </c:pt>
                <c:pt idx="20">
                  <c:v>125</c:v>
                </c:pt>
                <c:pt idx="21">
                  <c:v>1125</c:v>
                </c:pt>
                <c:pt idx="22">
                  <c:v>714</c:v>
                </c:pt>
                <c:pt idx="23">
                  <c:v>601</c:v>
                </c:pt>
                <c:pt idx="24">
                  <c:v>753</c:v>
                </c:pt>
                <c:pt idx="25">
                  <c:v>348</c:v>
                </c:pt>
                <c:pt idx="26">
                  <c:v>742</c:v>
                </c:pt>
                <c:pt idx="27">
                  <c:v>805</c:v>
                </c:pt>
                <c:pt idx="28">
                  <c:v>580</c:v>
                </c:pt>
                <c:pt idx="29">
                  <c:v>981</c:v>
                </c:pt>
                <c:pt idx="30">
                  <c:v>891</c:v>
                </c:pt>
                <c:pt idx="31">
                  <c:v>981</c:v>
                </c:pt>
                <c:pt idx="32">
                  <c:v>184</c:v>
                </c:pt>
                <c:pt idx="33">
                  <c:v>297</c:v>
                </c:pt>
                <c:pt idx="34">
                  <c:v>745</c:v>
                </c:pt>
                <c:pt idx="35">
                  <c:v>239</c:v>
                </c:pt>
                <c:pt idx="36">
                  <c:v>886</c:v>
                </c:pt>
                <c:pt idx="37">
                  <c:v>297</c:v>
                </c:pt>
                <c:pt idx="38">
                  <c:v>520</c:v>
                </c:pt>
                <c:pt idx="39">
                  <c:v>95</c:v>
                </c:pt>
                <c:pt idx="40">
                  <c:v>806</c:v>
                </c:pt>
                <c:pt idx="41">
                  <c:v>612</c:v>
                </c:pt>
                <c:pt idx="42">
                  <c:v>372</c:v>
                </c:pt>
                <c:pt idx="43">
                  <c:v>318</c:v>
                </c:pt>
                <c:pt idx="44">
                  <c:v>791</c:v>
                </c:pt>
                <c:pt idx="45">
                  <c:v>817</c:v>
                </c:pt>
                <c:pt idx="46">
                  <c:v>903</c:v>
                </c:pt>
                <c:pt idx="47">
                  <c:v>1158</c:v>
                </c:pt>
                <c:pt idx="48">
                  <c:v>722</c:v>
                </c:pt>
                <c:pt idx="49">
                  <c:v>706</c:v>
                </c:pt>
                <c:pt idx="50">
                  <c:v>344</c:v>
                </c:pt>
                <c:pt idx="51">
                  <c:v>508</c:v>
                </c:pt>
                <c:pt idx="52">
                  <c:v>293</c:v>
                </c:pt>
                <c:pt idx="53">
                  <c:v>640</c:v>
                </c:pt>
                <c:pt idx="54">
                  <c:v>1496</c:v>
                </c:pt>
                <c:pt idx="55">
                  <c:v>434</c:v>
                </c:pt>
                <c:pt idx="56">
                  <c:v>1155</c:v>
                </c:pt>
                <c:pt idx="57">
                  <c:v>506</c:v>
                </c:pt>
                <c:pt idx="58">
                  <c:v>365</c:v>
                </c:pt>
                <c:pt idx="59">
                  <c:v>799</c:v>
                </c:pt>
                <c:pt idx="60">
                  <c:v>697</c:v>
                </c:pt>
                <c:pt idx="61">
                  <c:v>313</c:v>
                </c:pt>
                <c:pt idx="62">
                  <c:v>1016</c:v>
                </c:pt>
                <c:pt idx="63">
                  <c:v>603</c:v>
                </c:pt>
                <c:pt idx="64">
                  <c:v>548</c:v>
                </c:pt>
                <c:pt idx="65">
                  <c:v>883</c:v>
                </c:pt>
                <c:pt idx="66">
                  <c:v>1083</c:v>
                </c:pt>
                <c:pt idx="67">
                  <c:v>723</c:v>
                </c:pt>
                <c:pt idx="68">
                  <c:v>746</c:v>
                </c:pt>
                <c:pt idx="69">
                  <c:v>404</c:v>
                </c:pt>
                <c:pt idx="70">
                  <c:v>755</c:v>
                </c:pt>
                <c:pt idx="71">
                  <c:v>580</c:v>
                </c:pt>
                <c:pt idx="72">
                  <c:v>763</c:v>
                </c:pt>
                <c:pt idx="73">
                  <c:v>235</c:v>
                </c:pt>
                <c:pt idx="74">
                  <c:v>445</c:v>
                </c:pt>
                <c:pt idx="75">
                  <c:v>740</c:v>
                </c:pt>
                <c:pt idx="76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27-4813-906B-32F30615A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813232"/>
        <c:axId val="118888672"/>
      </c:barChart>
      <c:catAx>
        <c:axId val="5548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88672"/>
        <c:crosses val="autoZero"/>
        <c:auto val="1"/>
        <c:lblAlgn val="ctr"/>
        <c:lblOffset val="100"/>
        <c:noMultiLvlLbl val="0"/>
      </c:catAx>
      <c:valAx>
        <c:axId val="1188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81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solutions.xlsx]q10!PivotTable12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'q10'!$N$5:$N$6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'q10'!$N$7:$N$234</c:f>
              <c:numCache>
                <c:formatCode>General</c:formatCode>
                <c:ptCount val="224"/>
                <c:pt idx="76">
                  <c:v>40</c:v>
                </c:pt>
                <c:pt idx="77">
                  <c:v>111</c:v>
                </c:pt>
                <c:pt idx="78">
                  <c:v>9</c:v>
                </c:pt>
                <c:pt idx="79">
                  <c:v>15</c:v>
                </c:pt>
                <c:pt idx="80">
                  <c:v>25</c:v>
                </c:pt>
                <c:pt idx="81">
                  <c:v>20</c:v>
                </c:pt>
                <c:pt idx="83">
                  <c:v>32</c:v>
                </c:pt>
                <c:pt idx="85">
                  <c:v>95</c:v>
                </c:pt>
                <c:pt idx="86">
                  <c:v>20</c:v>
                </c:pt>
                <c:pt idx="87">
                  <c:v>161</c:v>
                </c:pt>
                <c:pt idx="88">
                  <c:v>60</c:v>
                </c:pt>
                <c:pt idx="90">
                  <c:v>38</c:v>
                </c:pt>
                <c:pt idx="91">
                  <c:v>164</c:v>
                </c:pt>
                <c:pt idx="94">
                  <c:v>30</c:v>
                </c:pt>
                <c:pt idx="95">
                  <c:v>58</c:v>
                </c:pt>
                <c:pt idx="97">
                  <c:v>70</c:v>
                </c:pt>
                <c:pt idx="99">
                  <c:v>16</c:v>
                </c:pt>
                <c:pt idx="100">
                  <c:v>6</c:v>
                </c:pt>
                <c:pt idx="102">
                  <c:v>8</c:v>
                </c:pt>
                <c:pt idx="103">
                  <c:v>48</c:v>
                </c:pt>
                <c:pt idx="104">
                  <c:v>35</c:v>
                </c:pt>
                <c:pt idx="106">
                  <c:v>84</c:v>
                </c:pt>
                <c:pt idx="107">
                  <c:v>20</c:v>
                </c:pt>
                <c:pt idx="109">
                  <c:v>18</c:v>
                </c:pt>
                <c:pt idx="113">
                  <c:v>87</c:v>
                </c:pt>
                <c:pt idx="114">
                  <c:v>18</c:v>
                </c:pt>
                <c:pt idx="116">
                  <c:v>7</c:v>
                </c:pt>
                <c:pt idx="117">
                  <c:v>14</c:v>
                </c:pt>
                <c:pt idx="118">
                  <c:v>60</c:v>
                </c:pt>
                <c:pt idx="119">
                  <c:v>135</c:v>
                </c:pt>
                <c:pt idx="121">
                  <c:v>130</c:v>
                </c:pt>
                <c:pt idx="124">
                  <c:v>15</c:v>
                </c:pt>
                <c:pt idx="126">
                  <c:v>26</c:v>
                </c:pt>
                <c:pt idx="127">
                  <c:v>12</c:v>
                </c:pt>
                <c:pt idx="130">
                  <c:v>10</c:v>
                </c:pt>
                <c:pt idx="132">
                  <c:v>68</c:v>
                </c:pt>
                <c:pt idx="134">
                  <c:v>40</c:v>
                </c:pt>
                <c:pt idx="135">
                  <c:v>10</c:v>
                </c:pt>
                <c:pt idx="137">
                  <c:v>73</c:v>
                </c:pt>
                <c:pt idx="138">
                  <c:v>70</c:v>
                </c:pt>
                <c:pt idx="139">
                  <c:v>30</c:v>
                </c:pt>
                <c:pt idx="141">
                  <c:v>34</c:v>
                </c:pt>
                <c:pt idx="142">
                  <c:v>57</c:v>
                </c:pt>
                <c:pt idx="143">
                  <c:v>10</c:v>
                </c:pt>
                <c:pt idx="144">
                  <c:v>40</c:v>
                </c:pt>
                <c:pt idx="145">
                  <c:v>10</c:v>
                </c:pt>
                <c:pt idx="146">
                  <c:v>15</c:v>
                </c:pt>
                <c:pt idx="147">
                  <c:v>16</c:v>
                </c:pt>
                <c:pt idx="148">
                  <c:v>30</c:v>
                </c:pt>
                <c:pt idx="150">
                  <c:v>108</c:v>
                </c:pt>
                <c:pt idx="151">
                  <c:v>20</c:v>
                </c:pt>
                <c:pt idx="152">
                  <c:v>1</c:v>
                </c:pt>
                <c:pt idx="153">
                  <c:v>15</c:v>
                </c:pt>
                <c:pt idx="154">
                  <c:v>15</c:v>
                </c:pt>
                <c:pt idx="155">
                  <c:v>30</c:v>
                </c:pt>
                <c:pt idx="157">
                  <c:v>85</c:v>
                </c:pt>
                <c:pt idx="158">
                  <c:v>148</c:v>
                </c:pt>
                <c:pt idx="163">
                  <c:v>23</c:v>
                </c:pt>
                <c:pt idx="164">
                  <c:v>28</c:v>
                </c:pt>
                <c:pt idx="166">
                  <c:v>100</c:v>
                </c:pt>
                <c:pt idx="167">
                  <c:v>149</c:v>
                </c:pt>
                <c:pt idx="170">
                  <c:v>40</c:v>
                </c:pt>
                <c:pt idx="171">
                  <c:v>24</c:v>
                </c:pt>
                <c:pt idx="172">
                  <c:v>10</c:v>
                </c:pt>
                <c:pt idx="173">
                  <c:v>21</c:v>
                </c:pt>
                <c:pt idx="174">
                  <c:v>10</c:v>
                </c:pt>
                <c:pt idx="175">
                  <c:v>52</c:v>
                </c:pt>
                <c:pt idx="176">
                  <c:v>30</c:v>
                </c:pt>
                <c:pt idx="177">
                  <c:v>30</c:v>
                </c:pt>
                <c:pt idx="178">
                  <c:v>74</c:v>
                </c:pt>
                <c:pt idx="179">
                  <c:v>20</c:v>
                </c:pt>
                <c:pt idx="181">
                  <c:v>3</c:v>
                </c:pt>
                <c:pt idx="182">
                  <c:v>50</c:v>
                </c:pt>
                <c:pt idx="183">
                  <c:v>82</c:v>
                </c:pt>
                <c:pt idx="184">
                  <c:v>50</c:v>
                </c:pt>
                <c:pt idx="185">
                  <c:v>188</c:v>
                </c:pt>
                <c:pt idx="187">
                  <c:v>4</c:v>
                </c:pt>
                <c:pt idx="189">
                  <c:v>40</c:v>
                </c:pt>
                <c:pt idx="190">
                  <c:v>40</c:v>
                </c:pt>
                <c:pt idx="191">
                  <c:v>30</c:v>
                </c:pt>
                <c:pt idx="192">
                  <c:v>62</c:v>
                </c:pt>
                <c:pt idx="193">
                  <c:v>15</c:v>
                </c:pt>
                <c:pt idx="194">
                  <c:v>35</c:v>
                </c:pt>
                <c:pt idx="195">
                  <c:v>60</c:v>
                </c:pt>
                <c:pt idx="196">
                  <c:v>85</c:v>
                </c:pt>
                <c:pt idx="198">
                  <c:v>85</c:v>
                </c:pt>
                <c:pt idx="199">
                  <c:v>27</c:v>
                </c:pt>
                <c:pt idx="201">
                  <c:v>24</c:v>
                </c:pt>
                <c:pt idx="202">
                  <c:v>65</c:v>
                </c:pt>
                <c:pt idx="204">
                  <c:v>117</c:v>
                </c:pt>
                <c:pt idx="205">
                  <c:v>10</c:v>
                </c:pt>
                <c:pt idx="206">
                  <c:v>40</c:v>
                </c:pt>
                <c:pt idx="207">
                  <c:v>73</c:v>
                </c:pt>
                <c:pt idx="208">
                  <c:v>34</c:v>
                </c:pt>
                <c:pt idx="210">
                  <c:v>40</c:v>
                </c:pt>
                <c:pt idx="211">
                  <c:v>20</c:v>
                </c:pt>
                <c:pt idx="213">
                  <c:v>15</c:v>
                </c:pt>
                <c:pt idx="214">
                  <c:v>42</c:v>
                </c:pt>
                <c:pt idx="215">
                  <c:v>74</c:v>
                </c:pt>
                <c:pt idx="216">
                  <c:v>72</c:v>
                </c:pt>
                <c:pt idx="217">
                  <c:v>15</c:v>
                </c:pt>
                <c:pt idx="218">
                  <c:v>19</c:v>
                </c:pt>
                <c:pt idx="220">
                  <c:v>38</c:v>
                </c:pt>
                <c:pt idx="221">
                  <c:v>30</c:v>
                </c:pt>
                <c:pt idx="222">
                  <c:v>35</c:v>
                </c:pt>
                <c:pt idx="2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6-4796-BF6D-09556CE2F6F4}"/>
            </c:ext>
          </c:extLst>
        </c:ser>
        <c:ser>
          <c:idx val="1"/>
          <c:order val="1"/>
          <c:tx>
            <c:strRef>
              <c:f>'q10'!$O$5:$O$6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'q10'!$O$7:$O$234</c:f>
              <c:numCache>
                <c:formatCode>General</c:formatCode>
                <c:ptCount val="224"/>
                <c:pt idx="73">
                  <c:v>2</c:v>
                </c:pt>
                <c:pt idx="74">
                  <c:v>50</c:v>
                </c:pt>
                <c:pt idx="75">
                  <c:v>2</c:v>
                </c:pt>
                <c:pt idx="76">
                  <c:v>99</c:v>
                </c:pt>
                <c:pt idx="77">
                  <c:v>60</c:v>
                </c:pt>
                <c:pt idx="79">
                  <c:v>34</c:v>
                </c:pt>
                <c:pt idx="80">
                  <c:v>60</c:v>
                </c:pt>
                <c:pt idx="84">
                  <c:v>70</c:v>
                </c:pt>
                <c:pt idx="87">
                  <c:v>75</c:v>
                </c:pt>
                <c:pt idx="88">
                  <c:v>119</c:v>
                </c:pt>
                <c:pt idx="90">
                  <c:v>75</c:v>
                </c:pt>
                <c:pt idx="91">
                  <c:v>14</c:v>
                </c:pt>
                <c:pt idx="93">
                  <c:v>10</c:v>
                </c:pt>
                <c:pt idx="95">
                  <c:v>35</c:v>
                </c:pt>
                <c:pt idx="96">
                  <c:v>40</c:v>
                </c:pt>
                <c:pt idx="97">
                  <c:v>62</c:v>
                </c:pt>
                <c:pt idx="100">
                  <c:v>5</c:v>
                </c:pt>
                <c:pt idx="102">
                  <c:v>25</c:v>
                </c:pt>
                <c:pt idx="103">
                  <c:v>2</c:v>
                </c:pt>
                <c:pt idx="104">
                  <c:v>34</c:v>
                </c:pt>
                <c:pt idx="106">
                  <c:v>15</c:v>
                </c:pt>
                <c:pt idx="107">
                  <c:v>20</c:v>
                </c:pt>
                <c:pt idx="111">
                  <c:v>60</c:v>
                </c:pt>
                <c:pt idx="112">
                  <c:v>20</c:v>
                </c:pt>
                <c:pt idx="114">
                  <c:v>18</c:v>
                </c:pt>
                <c:pt idx="117">
                  <c:v>45</c:v>
                </c:pt>
                <c:pt idx="118">
                  <c:v>8</c:v>
                </c:pt>
                <c:pt idx="119">
                  <c:v>10</c:v>
                </c:pt>
                <c:pt idx="120">
                  <c:v>21</c:v>
                </c:pt>
                <c:pt idx="121">
                  <c:v>25</c:v>
                </c:pt>
                <c:pt idx="122">
                  <c:v>30</c:v>
                </c:pt>
                <c:pt idx="125">
                  <c:v>20</c:v>
                </c:pt>
                <c:pt idx="126">
                  <c:v>42</c:v>
                </c:pt>
                <c:pt idx="127">
                  <c:v>45</c:v>
                </c:pt>
                <c:pt idx="128">
                  <c:v>20</c:v>
                </c:pt>
                <c:pt idx="132">
                  <c:v>66</c:v>
                </c:pt>
                <c:pt idx="133">
                  <c:v>40</c:v>
                </c:pt>
                <c:pt idx="135">
                  <c:v>42</c:v>
                </c:pt>
                <c:pt idx="136">
                  <c:v>16</c:v>
                </c:pt>
                <c:pt idx="137">
                  <c:v>22</c:v>
                </c:pt>
                <c:pt idx="138">
                  <c:v>95</c:v>
                </c:pt>
                <c:pt idx="139">
                  <c:v>75</c:v>
                </c:pt>
                <c:pt idx="140">
                  <c:v>42</c:v>
                </c:pt>
                <c:pt idx="141">
                  <c:v>21</c:v>
                </c:pt>
                <c:pt idx="142">
                  <c:v>67</c:v>
                </c:pt>
                <c:pt idx="143">
                  <c:v>6</c:v>
                </c:pt>
                <c:pt idx="144">
                  <c:v>60</c:v>
                </c:pt>
                <c:pt idx="147">
                  <c:v>65</c:v>
                </c:pt>
                <c:pt idx="148">
                  <c:v>7</c:v>
                </c:pt>
                <c:pt idx="149">
                  <c:v>55</c:v>
                </c:pt>
                <c:pt idx="150">
                  <c:v>6</c:v>
                </c:pt>
                <c:pt idx="151">
                  <c:v>79</c:v>
                </c:pt>
                <c:pt idx="152">
                  <c:v>115</c:v>
                </c:pt>
                <c:pt idx="153">
                  <c:v>70</c:v>
                </c:pt>
                <c:pt idx="154">
                  <c:v>156</c:v>
                </c:pt>
                <c:pt idx="155">
                  <c:v>35</c:v>
                </c:pt>
                <c:pt idx="156">
                  <c:v>84</c:v>
                </c:pt>
                <c:pt idx="157">
                  <c:v>62</c:v>
                </c:pt>
                <c:pt idx="158">
                  <c:v>59</c:v>
                </c:pt>
                <c:pt idx="159">
                  <c:v>21</c:v>
                </c:pt>
                <c:pt idx="160">
                  <c:v>30</c:v>
                </c:pt>
                <c:pt idx="161">
                  <c:v>8</c:v>
                </c:pt>
                <c:pt idx="162">
                  <c:v>90</c:v>
                </c:pt>
                <c:pt idx="163">
                  <c:v>20</c:v>
                </c:pt>
                <c:pt idx="164">
                  <c:v>55</c:v>
                </c:pt>
                <c:pt idx="165">
                  <c:v>20</c:v>
                </c:pt>
                <c:pt idx="166">
                  <c:v>104</c:v>
                </c:pt>
                <c:pt idx="167">
                  <c:v>74</c:v>
                </c:pt>
                <c:pt idx="168">
                  <c:v>6</c:v>
                </c:pt>
                <c:pt idx="169">
                  <c:v>60</c:v>
                </c:pt>
                <c:pt idx="170">
                  <c:v>40</c:v>
                </c:pt>
                <c:pt idx="172">
                  <c:v>16</c:v>
                </c:pt>
                <c:pt idx="173">
                  <c:v>105</c:v>
                </c:pt>
                <c:pt idx="174">
                  <c:v>87</c:v>
                </c:pt>
                <c:pt idx="175">
                  <c:v>131</c:v>
                </c:pt>
                <c:pt idx="176">
                  <c:v>50</c:v>
                </c:pt>
                <c:pt idx="177">
                  <c:v>41</c:v>
                </c:pt>
                <c:pt idx="178">
                  <c:v>52</c:v>
                </c:pt>
                <c:pt idx="179">
                  <c:v>91</c:v>
                </c:pt>
                <c:pt idx="180">
                  <c:v>91</c:v>
                </c:pt>
                <c:pt idx="182">
                  <c:v>20</c:v>
                </c:pt>
                <c:pt idx="183">
                  <c:v>15</c:v>
                </c:pt>
                <c:pt idx="185">
                  <c:v>13</c:v>
                </c:pt>
                <c:pt idx="186">
                  <c:v>20</c:v>
                </c:pt>
                <c:pt idx="188">
                  <c:v>3</c:v>
                </c:pt>
                <c:pt idx="189">
                  <c:v>55</c:v>
                </c:pt>
                <c:pt idx="190">
                  <c:v>20</c:v>
                </c:pt>
                <c:pt idx="191">
                  <c:v>20</c:v>
                </c:pt>
                <c:pt idx="192">
                  <c:v>51</c:v>
                </c:pt>
                <c:pt idx="193">
                  <c:v>52</c:v>
                </c:pt>
                <c:pt idx="194">
                  <c:v>96</c:v>
                </c:pt>
                <c:pt idx="196">
                  <c:v>50</c:v>
                </c:pt>
                <c:pt idx="197">
                  <c:v>29</c:v>
                </c:pt>
                <c:pt idx="198">
                  <c:v>35</c:v>
                </c:pt>
                <c:pt idx="199">
                  <c:v>36</c:v>
                </c:pt>
                <c:pt idx="202">
                  <c:v>147</c:v>
                </c:pt>
                <c:pt idx="203">
                  <c:v>64</c:v>
                </c:pt>
                <c:pt idx="204">
                  <c:v>20</c:v>
                </c:pt>
                <c:pt idx="206">
                  <c:v>10</c:v>
                </c:pt>
                <c:pt idx="207">
                  <c:v>44</c:v>
                </c:pt>
                <c:pt idx="208">
                  <c:v>62</c:v>
                </c:pt>
                <c:pt idx="209">
                  <c:v>5</c:v>
                </c:pt>
                <c:pt idx="211">
                  <c:v>30</c:v>
                </c:pt>
                <c:pt idx="212">
                  <c:v>35</c:v>
                </c:pt>
                <c:pt idx="213">
                  <c:v>59</c:v>
                </c:pt>
                <c:pt idx="214">
                  <c:v>98</c:v>
                </c:pt>
                <c:pt idx="215">
                  <c:v>29</c:v>
                </c:pt>
                <c:pt idx="216">
                  <c:v>18</c:v>
                </c:pt>
                <c:pt idx="218">
                  <c:v>35</c:v>
                </c:pt>
                <c:pt idx="219">
                  <c:v>88</c:v>
                </c:pt>
                <c:pt idx="220">
                  <c:v>25</c:v>
                </c:pt>
                <c:pt idx="222">
                  <c:v>111</c:v>
                </c:pt>
                <c:pt idx="22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36-4796-BF6D-09556CE2F6F4}"/>
            </c:ext>
          </c:extLst>
        </c:ser>
        <c:ser>
          <c:idx val="2"/>
          <c:order val="2"/>
          <c:tx>
            <c:strRef>
              <c:f>'q10'!$P$5:$P$6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'q10'!$P$7:$P$234</c:f>
              <c:numCache>
                <c:formatCode>General</c:formatCode>
                <c:ptCount val="224"/>
                <c:pt idx="73">
                  <c:v>105</c:v>
                </c:pt>
                <c:pt idx="75">
                  <c:v>70</c:v>
                </c:pt>
                <c:pt idx="80">
                  <c:v>55</c:v>
                </c:pt>
                <c:pt idx="81">
                  <c:v>26</c:v>
                </c:pt>
                <c:pt idx="84">
                  <c:v>15</c:v>
                </c:pt>
                <c:pt idx="86">
                  <c:v>35</c:v>
                </c:pt>
                <c:pt idx="87">
                  <c:v>82</c:v>
                </c:pt>
                <c:pt idx="88">
                  <c:v>20</c:v>
                </c:pt>
                <c:pt idx="90">
                  <c:v>113</c:v>
                </c:pt>
                <c:pt idx="91">
                  <c:v>3</c:v>
                </c:pt>
                <c:pt idx="94">
                  <c:v>20</c:v>
                </c:pt>
                <c:pt idx="96">
                  <c:v>100</c:v>
                </c:pt>
                <c:pt idx="97">
                  <c:v>61</c:v>
                </c:pt>
                <c:pt idx="98">
                  <c:v>12</c:v>
                </c:pt>
                <c:pt idx="99">
                  <c:v>34</c:v>
                </c:pt>
                <c:pt idx="101">
                  <c:v>20</c:v>
                </c:pt>
                <c:pt idx="102">
                  <c:v>30</c:v>
                </c:pt>
                <c:pt idx="104">
                  <c:v>18</c:v>
                </c:pt>
                <c:pt idx="106">
                  <c:v>30</c:v>
                </c:pt>
                <c:pt idx="107">
                  <c:v>63</c:v>
                </c:pt>
                <c:pt idx="108">
                  <c:v>60</c:v>
                </c:pt>
                <c:pt idx="111">
                  <c:v>21</c:v>
                </c:pt>
                <c:pt idx="113">
                  <c:v>50</c:v>
                </c:pt>
                <c:pt idx="114">
                  <c:v>28</c:v>
                </c:pt>
                <c:pt idx="117">
                  <c:v>55</c:v>
                </c:pt>
                <c:pt idx="118">
                  <c:v>25</c:v>
                </c:pt>
                <c:pt idx="119">
                  <c:v>180</c:v>
                </c:pt>
                <c:pt idx="120">
                  <c:v>85</c:v>
                </c:pt>
                <c:pt idx="121">
                  <c:v>65</c:v>
                </c:pt>
                <c:pt idx="122">
                  <c:v>42</c:v>
                </c:pt>
                <c:pt idx="123">
                  <c:v>15</c:v>
                </c:pt>
                <c:pt idx="126">
                  <c:v>57</c:v>
                </c:pt>
                <c:pt idx="127">
                  <c:v>106</c:v>
                </c:pt>
                <c:pt idx="128">
                  <c:v>15</c:v>
                </c:pt>
                <c:pt idx="129">
                  <c:v>28</c:v>
                </c:pt>
                <c:pt idx="130">
                  <c:v>20</c:v>
                </c:pt>
                <c:pt idx="131">
                  <c:v>50</c:v>
                </c:pt>
                <c:pt idx="132">
                  <c:v>21</c:v>
                </c:pt>
                <c:pt idx="135">
                  <c:v>130</c:v>
                </c:pt>
                <c:pt idx="136">
                  <c:v>115</c:v>
                </c:pt>
                <c:pt idx="137">
                  <c:v>35</c:v>
                </c:pt>
                <c:pt idx="138">
                  <c:v>8</c:v>
                </c:pt>
                <c:pt idx="139">
                  <c:v>35</c:v>
                </c:pt>
                <c:pt idx="140">
                  <c:v>67</c:v>
                </c:pt>
                <c:pt idx="141">
                  <c:v>24</c:v>
                </c:pt>
                <c:pt idx="143">
                  <c:v>141</c:v>
                </c:pt>
                <c:pt idx="145">
                  <c:v>16</c:v>
                </c:pt>
                <c:pt idx="146">
                  <c:v>40</c:v>
                </c:pt>
                <c:pt idx="147">
                  <c:v>35</c:v>
                </c:pt>
                <c:pt idx="148">
                  <c:v>71</c:v>
                </c:pt>
                <c:pt idx="149">
                  <c:v>30</c:v>
                </c:pt>
                <c:pt idx="150">
                  <c:v>95</c:v>
                </c:pt>
                <c:pt idx="152">
                  <c:v>103</c:v>
                </c:pt>
                <c:pt idx="153">
                  <c:v>100</c:v>
                </c:pt>
                <c:pt idx="154">
                  <c:v>100</c:v>
                </c:pt>
                <c:pt idx="155">
                  <c:v>45</c:v>
                </c:pt>
                <c:pt idx="156">
                  <c:v>90</c:v>
                </c:pt>
                <c:pt idx="157">
                  <c:v>61</c:v>
                </c:pt>
                <c:pt idx="158">
                  <c:v>133</c:v>
                </c:pt>
                <c:pt idx="159">
                  <c:v>30</c:v>
                </c:pt>
                <c:pt idx="162">
                  <c:v>42</c:v>
                </c:pt>
                <c:pt idx="163">
                  <c:v>22</c:v>
                </c:pt>
                <c:pt idx="164">
                  <c:v>55</c:v>
                </c:pt>
                <c:pt idx="165">
                  <c:v>105</c:v>
                </c:pt>
                <c:pt idx="166">
                  <c:v>37</c:v>
                </c:pt>
                <c:pt idx="167">
                  <c:v>35</c:v>
                </c:pt>
                <c:pt idx="168">
                  <c:v>50</c:v>
                </c:pt>
                <c:pt idx="170">
                  <c:v>146</c:v>
                </c:pt>
                <c:pt idx="171">
                  <c:v>50</c:v>
                </c:pt>
                <c:pt idx="173">
                  <c:v>20</c:v>
                </c:pt>
                <c:pt idx="175">
                  <c:v>80</c:v>
                </c:pt>
                <c:pt idx="176">
                  <c:v>20</c:v>
                </c:pt>
                <c:pt idx="178">
                  <c:v>49</c:v>
                </c:pt>
                <c:pt idx="179">
                  <c:v>73</c:v>
                </c:pt>
                <c:pt idx="180">
                  <c:v>10</c:v>
                </c:pt>
                <c:pt idx="181">
                  <c:v>30</c:v>
                </c:pt>
                <c:pt idx="183">
                  <c:v>64</c:v>
                </c:pt>
                <c:pt idx="185">
                  <c:v>2</c:v>
                </c:pt>
                <c:pt idx="186">
                  <c:v>6</c:v>
                </c:pt>
                <c:pt idx="187">
                  <c:v>87</c:v>
                </c:pt>
                <c:pt idx="190">
                  <c:v>126</c:v>
                </c:pt>
                <c:pt idx="191">
                  <c:v>30</c:v>
                </c:pt>
                <c:pt idx="192">
                  <c:v>5</c:v>
                </c:pt>
                <c:pt idx="193">
                  <c:v>65</c:v>
                </c:pt>
                <c:pt idx="194">
                  <c:v>83</c:v>
                </c:pt>
                <c:pt idx="195">
                  <c:v>40</c:v>
                </c:pt>
                <c:pt idx="196">
                  <c:v>63</c:v>
                </c:pt>
                <c:pt idx="197">
                  <c:v>3</c:v>
                </c:pt>
                <c:pt idx="198">
                  <c:v>115</c:v>
                </c:pt>
                <c:pt idx="199">
                  <c:v>15</c:v>
                </c:pt>
                <c:pt idx="200">
                  <c:v>10</c:v>
                </c:pt>
                <c:pt idx="201">
                  <c:v>3</c:v>
                </c:pt>
                <c:pt idx="202">
                  <c:v>40</c:v>
                </c:pt>
                <c:pt idx="203">
                  <c:v>20</c:v>
                </c:pt>
                <c:pt idx="204">
                  <c:v>134</c:v>
                </c:pt>
                <c:pt idx="205">
                  <c:v>10</c:v>
                </c:pt>
                <c:pt idx="207">
                  <c:v>58</c:v>
                </c:pt>
                <c:pt idx="208">
                  <c:v>25</c:v>
                </c:pt>
                <c:pt idx="209">
                  <c:v>20</c:v>
                </c:pt>
                <c:pt idx="210">
                  <c:v>100</c:v>
                </c:pt>
                <c:pt idx="211">
                  <c:v>50</c:v>
                </c:pt>
                <c:pt idx="212">
                  <c:v>21</c:v>
                </c:pt>
                <c:pt idx="213">
                  <c:v>37</c:v>
                </c:pt>
                <c:pt idx="214">
                  <c:v>64</c:v>
                </c:pt>
                <c:pt idx="215">
                  <c:v>37</c:v>
                </c:pt>
                <c:pt idx="216">
                  <c:v>164</c:v>
                </c:pt>
                <c:pt idx="218">
                  <c:v>42</c:v>
                </c:pt>
                <c:pt idx="219">
                  <c:v>80</c:v>
                </c:pt>
                <c:pt idx="220">
                  <c:v>32</c:v>
                </c:pt>
                <c:pt idx="222">
                  <c:v>35</c:v>
                </c:pt>
                <c:pt idx="22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36-4796-BF6D-09556CE2F6F4}"/>
            </c:ext>
          </c:extLst>
        </c:ser>
        <c:ser>
          <c:idx val="3"/>
          <c:order val="3"/>
          <c:tx>
            <c:strRef>
              <c:f>'q10'!$Q$5:$Q$6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'q10'!$Q$7:$Q$234</c:f>
              <c:numCache>
                <c:formatCode>General</c:formatCode>
                <c:ptCount val="224"/>
                <c:pt idx="74">
                  <c:v>20</c:v>
                </c:pt>
                <c:pt idx="75">
                  <c:v>61</c:v>
                </c:pt>
                <c:pt idx="76">
                  <c:v>30</c:v>
                </c:pt>
                <c:pt idx="77">
                  <c:v>60</c:v>
                </c:pt>
                <c:pt idx="78">
                  <c:v>30</c:v>
                </c:pt>
                <c:pt idx="79">
                  <c:v>15</c:v>
                </c:pt>
                <c:pt idx="80">
                  <c:v>60</c:v>
                </c:pt>
                <c:pt idx="81">
                  <c:v>20</c:v>
                </c:pt>
                <c:pt idx="82">
                  <c:v>16</c:v>
                </c:pt>
                <c:pt idx="87">
                  <c:v>12</c:v>
                </c:pt>
                <c:pt idx="88">
                  <c:v>12</c:v>
                </c:pt>
                <c:pt idx="90">
                  <c:v>50</c:v>
                </c:pt>
                <c:pt idx="91">
                  <c:v>35</c:v>
                </c:pt>
                <c:pt idx="94">
                  <c:v>133</c:v>
                </c:pt>
                <c:pt idx="96">
                  <c:v>2</c:v>
                </c:pt>
                <c:pt idx="97">
                  <c:v>30</c:v>
                </c:pt>
                <c:pt idx="99">
                  <c:v>20</c:v>
                </c:pt>
                <c:pt idx="101">
                  <c:v>18</c:v>
                </c:pt>
                <c:pt idx="103">
                  <c:v>1</c:v>
                </c:pt>
                <c:pt idx="104">
                  <c:v>42</c:v>
                </c:pt>
                <c:pt idx="106">
                  <c:v>16</c:v>
                </c:pt>
                <c:pt idx="108">
                  <c:v>60</c:v>
                </c:pt>
                <c:pt idx="109">
                  <c:v>46</c:v>
                </c:pt>
                <c:pt idx="111">
                  <c:v>24</c:v>
                </c:pt>
                <c:pt idx="114">
                  <c:v>8</c:v>
                </c:pt>
                <c:pt idx="116">
                  <c:v>12</c:v>
                </c:pt>
                <c:pt idx="117">
                  <c:v>30</c:v>
                </c:pt>
                <c:pt idx="118">
                  <c:v>72</c:v>
                </c:pt>
                <c:pt idx="119">
                  <c:v>32</c:v>
                </c:pt>
                <c:pt idx="120">
                  <c:v>53</c:v>
                </c:pt>
                <c:pt idx="121">
                  <c:v>28</c:v>
                </c:pt>
                <c:pt idx="122">
                  <c:v>30</c:v>
                </c:pt>
                <c:pt idx="124">
                  <c:v>30</c:v>
                </c:pt>
                <c:pt idx="125">
                  <c:v>20</c:v>
                </c:pt>
                <c:pt idx="126">
                  <c:v>18</c:v>
                </c:pt>
                <c:pt idx="127">
                  <c:v>102</c:v>
                </c:pt>
                <c:pt idx="129">
                  <c:v>10</c:v>
                </c:pt>
                <c:pt idx="130">
                  <c:v>35</c:v>
                </c:pt>
                <c:pt idx="133">
                  <c:v>50</c:v>
                </c:pt>
                <c:pt idx="135">
                  <c:v>35</c:v>
                </c:pt>
                <c:pt idx="137">
                  <c:v>5</c:v>
                </c:pt>
                <c:pt idx="140">
                  <c:v>26</c:v>
                </c:pt>
                <c:pt idx="141">
                  <c:v>18</c:v>
                </c:pt>
                <c:pt idx="142">
                  <c:v>12</c:v>
                </c:pt>
                <c:pt idx="143">
                  <c:v>24</c:v>
                </c:pt>
                <c:pt idx="144">
                  <c:v>36</c:v>
                </c:pt>
                <c:pt idx="145">
                  <c:v>30</c:v>
                </c:pt>
                <c:pt idx="146">
                  <c:v>25</c:v>
                </c:pt>
                <c:pt idx="148">
                  <c:v>38</c:v>
                </c:pt>
                <c:pt idx="149">
                  <c:v>30</c:v>
                </c:pt>
                <c:pt idx="167">
                  <c:v>153</c:v>
                </c:pt>
                <c:pt idx="170">
                  <c:v>200</c:v>
                </c:pt>
                <c:pt idx="179">
                  <c:v>288</c:v>
                </c:pt>
                <c:pt idx="180">
                  <c:v>139</c:v>
                </c:pt>
                <c:pt idx="196">
                  <c:v>173</c:v>
                </c:pt>
                <c:pt idx="204">
                  <c:v>217</c:v>
                </c:pt>
                <c:pt idx="210">
                  <c:v>148</c:v>
                </c:pt>
                <c:pt idx="214">
                  <c:v>156</c:v>
                </c:pt>
                <c:pt idx="220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36-4796-BF6D-09556CE2F6F4}"/>
            </c:ext>
          </c:extLst>
        </c:ser>
        <c:ser>
          <c:idx val="4"/>
          <c:order val="4"/>
          <c:tx>
            <c:strRef>
              <c:f>'q10'!$R$5:$R$6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'q10'!$R$7:$R$234</c:f>
              <c:numCache>
                <c:formatCode>General</c:formatCode>
                <c:ptCount val="224"/>
                <c:pt idx="75">
                  <c:v>30</c:v>
                </c:pt>
                <c:pt idx="76">
                  <c:v>15</c:v>
                </c:pt>
                <c:pt idx="77">
                  <c:v>106</c:v>
                </c:pt>
                <c:pt idx="78">
                  <c:v>25</c:v>
                </c:pt>
                <c:pt idx="79">
                  <c:v>40</c:v>
                </c:pt>
                <c:pt idx="80">
                  <c:v>12</c:v>
                </c:pt>
                <c:pt idx="81">
                  <c:v>10</c:v>
                </c:pt>
                <c:pt idx="82">
                  <c:v>50</c:v>
                </c:pt>
                <c:pt idx="84">
                  <c:v>15</c:v>
                </c:pt>
                <c:pt idx="86">
                  <c:v>6</c:v>
                </c:pt>
                <c:pt idx="88">
                  <c:v>16</c:v>
                </c:pt>
                <c:pt idx="89">
                  <c:v>12</c:v>
                </c:pt>
                <c:pt idx="90">
                  <c:v>154</c:v>
                </c:pt>
                <c:pt idx="91">
                  <c:v>20</c:v>
                </c:pt>
                <c:pt idx="94">
                  <c:v>37</c:v>
                </c:pt>
                <c:pt idx="95">
                  <c:v>10</c:v>
                </c:pt>
                <c:pt idx="96">
                  <c:v>24</c:v>
                </c:pt>
                <c:pt idx="99">
                  <c:v>16</c:v>
                </c:pt>
                <c:pt idx="101">
                  <c:v>15</c:v>
                </c:pt>
                <c:pt idx="102">
                  <c:v>110</c:v>
                </c:pt>
                <c:pt idx="103">
                  <c:v>10</c:v>
                </c:pt>
                <c:pt idx="105">
                  <c:v>30</c:v>
                </c:pt>
                <c:pt idx="107">
                  <c:v>74</c:v>
                </c:pt>
                <c:pt idx="108">
                  <c:v>10</c:v>
                </c:pt>
                <c:pt idx="110">
                  <c:v>50</c:v>
                </c:pt>
                <c:pt idx="111">
                  <c:v>25</c:v>
                </c:pt>
                <c:pt idx="112">
                  <c:v>16</c:v>
                </c:pt>
                <c:pt idx="113">
                  <c:v>25</c:v>
                </c:pt>
                <c:pt idx="114">
                  <c:v>20</c:v>
                </c:pt>
                <c:pt idx="115">
                  <c:v>34</c:v>
                </c:pt>
                <c:pt idx="116">
                  <c:v>78</c:v>
                </c:pt>
                <c:pt idx="117">
                  <c:v>37</c:v>
                </c:pt>
                <c:pt idx="118">
                  <c:v>20</c:v>
                </c:pt>
                <c:pt idx="120">
                  <c:v>50</c:v>
                </c:pt>
                <c:pt idx="121">
                  <c:v>21</c:v>
                </c:pt>
                <c:pt idx="124">
                  <c:v>21</c:v>
                </c:pt>
                <c:pt idx="126">
                  <c:v>66</c:v>
                </c:pt>
                <c:pt idx="127">
                  <c:v>64</c:v>
                </c:pt>
                <c:pt idx="129">
                  <c:v>122</c:v>
                </c:pt>
                <c:pt idx="131">
                  <c:v>120</c:v>
                </c:pt>
                <c:pt idx="132">
                  <c:v>36</c:v>
                </c:pt>
                <c:pt idx="133">
                  <c:v>70</c:v>
                </c:pt>
                <c:pt idx="134">
                  <c:v>39</c:v>
                </c:pt>
                <c:pt idx="135">
                  <c:v>52</c:v>
                </c:pt>
                <c:pt idx="136">
                  <c:v>40</c:v>
                </c:pt>
                <c:pt idx="137">
                  <c:v>9</c:v>
                </c:pt>
                <c:pt idx="138">
                  <c:v>3</c:v>
                </c:pt>
                <c:pt idx="139">
                  <c:v>3</c:v>
                </c:pt>
                <c:pt idx="141">
                  <c:v>36</c:v>
                </c:pt>
                <c:pt idx="142">
                  <c:v>70</c:v>
                </c:pt>
                <c:pt idx="143">
                  <c:v>20</c:v>
                </c:pt>
                <c:pt idx="144">
                  <c:v>10</c:v>
                </c:pt>
                <c:pt idx="145">
                  <c:v>50</c:v>
                </c:pt>
                <c:pt idx="14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36-4796-BF6D-09556CE2F6F4}"/>
            </c:ext>
          </c:extLst>
        </c:ser>
        <c:ser>
          <c:idx val="5"/>
          <c:order val="5"/>
          <c:tx>
            <c:strRef>
              <c:f>'q10'!$S$5:$S$6</c:f>
              <c:strCache>
                <c:ptCount val="1"/>
                <c:pt idx="0">
                  <c:v>6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'q10'!$S$7:$S$234</c:f>
              <c:numCache>
                <c:formatCode>General</c:formatCode>
                <c:ptCount val="224"/>
                <c:pt idx="73">
                  <c:v>73</c:v>
                </c:pt>
                <c:pt idx="74">
                  <c:v>60</c:v>
                </c:pt>
                <c:pt idx="75">
                  <c:v>35</c:v>
                </c:pt>
                <c:pt idx="76">
                  <c:v>34</c:v>
                </c:pt>
                <c:pt idx="77">
                  <c:v>35</c:v>
                </c:pt>
                <c:pt idx="79">
                  <c:v>8</c:v>
                </c:pt>
                <c:pt idx="82">
                  <c:v>100</c:v>
                </c:pt>
                <c:pt idx="85">
                  <c:v>20</c:v>
                </c:pt>
                <c:pt idx="87">
                  <c:v>9</c:v>
                </c:pt>
                <c:pt idx="88">
                  <c:v>53</c:v>
                </c:pt>
                <c:pt idx="90">
                  <c:v>30</c:v>
                </c:pt>
                <c:pt idx="91">
                  <c:v>135</c:v>
                </c:pt>
                <c:pt idx="93">
                  <c:v>18</c:v>
                </c:pt>
                <c:pt idx="94">
                  <c:v>35</c:v>
                </c:pt>
                <c:pt idx="95">
                  <c:v>28</c:v>
                </c:pt>
                <c:pt idx="96">
                  <c:v>40</c:v>
                </c:pt>
                <c:pt idx="97">
                  <c:v>40</c:v>
                </c:pt>
                <c:pt idx="98">
                  <c:v>24</c:v>
                </c:pt>
                <c:pt idx="99">
                  <c:v>2</c:v>
                </c:pt>
                <c:pt idx="100">
                  <c:v>120</c:v>
                </c:pt>
                <c:pt idx="101">
                  <c:v>85</c:v>
                </c:pt>
                <c:pt idx="102">
                  <c:v>20</c:v>
                </c:pt>
                <c:pt idx="103">
                  <c:v>18</c:v>
                </c:pt>
                <c:pt idx="104">
                  <c:v>50</c:v>
                </c:pt>
                <c:pt idx="105">
                  <c:v>7</c:v>
                </c:pt>
                <c:pt idx="107">
                  <c:v>36</c:v>
                </c:pt>
                <c:pt idx="108">
                  <c:v>24</c:v>
                </c:pt>
                <c:pt idx="109">
                  <c:v>54</c:v>
                </c:pt>
                <c:pt idx="110">
                  <c:v>24</c:v>
                </c:pt>
                <c:pt idx="111">
                  <c:v>6</c:v>
                </c:pt>
                <c:pt idx="113">
                  <c:v>55</c:v>
                </c:pt>
                <c:pt idx="114">
                  <c:v>35</c:v>
                </c:pt>
                <c:pt idx="117">
                  <c:v>10</c:v>
                </c:pt>
                <c:pt idx="118">
                  <c:v>7</c:v>
                </c:pt>
                <c:pt idx="119">
                  <c:v>14</c:v>
                </c:pt>
                <c:pt idx="120">
                  <c:v>84</c:v>
                </c:pt>
                <c:pt idx="122">
                  <c:v>93</c:v>
                </c:pt>
                <c:pt idx="123">
                  <c:v>45</c:v>
                </c:pt>
                <c:pt idx="124">
                  <c:v>100</c:v>
                </c:pt>
                <c:pt idx="125">
                  <c:v>33</c:v>
                </c:pt>
                <c:pt idx="126">
                  <c:v>7</c:v>
                </c:pt>
                <c:pt idx="127">
                  <c:v>17</c:v>
                </c:pt>
                <c:pt idx="128">
                  <c:v>5</c:v>
                </c:pt>
                <c:pt idx="129">
                  <c:v>30</c:v>
                </c:pt>
                <c:pt idx="130">
                  <c:v>10</c:v>
                </c:pt>
                <c:pt idx="132">
                  <c:v>55</c:v>
                </c:pt>
                <c:pt idx="134">
                  <c:v>15</c:v>
                </c:pt>
                <c:pt idx="135">
                  <c:v>21</c:v>
                </c:pt>
                <c:pt idx="136">
                  <c:v>30</c:v>
                </c:pt>
                <c:pt idx="138">
                  <c:v>56</c:v>
                </c:pt>
                <c:pt idx="139">
                  <c:v>60</c:v>
                </c:pt>
                <c:pt idx="140">
                  <c:v>10</c:v>
                </c:pt>
                <c:pt idx="143">
                  <c:v>49</c:v>
                </c:pt>
                <c:pt idx="144">
                  <c:v>90</c:v>
                </c:pt>
                <c:pt idx="14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36-4796-BF6D-09556CE2F6F4}"/>
            </c:ext>
          </c:extLst>
        </c:ser>
        <c:ser>
          <c:idx val="6"/>
          <c:order val="6"/>
          <c:tx>
            <c:strRef>
              <c:f>'q10'!$T$5:$T$6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'q10'!$T$7:$T$234</c:f>
              <c:numCache>
                <c:formatCode>General</c:formatCode>
                <c:ptCount val="224"/>
                <c:pt idx="73">
                  <c:v>34</c:v>
                </c:pt>
                <c:pt idx="75">
                  <c:v>52</c:v>
                </c:pt>
                <c:pt idx="77">
                  <c:v>24</c:v>
                </c:pt>
                <c:pt idx="78">
                  <c:v>18</c:v>
                </c:pt>
                <c:pt idx="79">
                  <c:v>10</c:v>
                </c:pt>
                <c:pt idx="81">
                  <c:v>10</c:v>
                </c:pt>
                <c:pt idx="86">
                  <c:v>100</c:v>
                </c:pt>
                <c:pt idx="88">
                  <c:v>34</c:v>
                </c:pt>
                <c:pt idx="89">
                  <c:v>10</c:v>
                </c:pt>
                <c:pt idx="90">
                  <c:v>100</c:v>
                </c:pt>
                <c:pt idx="91">
                  <c:v>171</c:v>
                </c:pt>
                <c:pt idx="94">
                  <c:v>43</c:v>
                </c:pt>
                <c:pt idx="95">
                  <c:v>10</c:v>
                </c:pt>
                <c:pt idx="96">
                  <c:v>31</c:v>
                </c:pt>
                <c:pt idx="99">
                  <c:v>5</c:v>
                </c:pt>
                <c:pt idx="100">
                  <c:v>25</c:v>
                </c:pt>
                <c:pt idx="102">
                  <c:v>21</c:v>
                </c:pt>
                <c:pt idx="104">
                  <c:v>64</c:v>
                </c:pt>
                <c:pt idx="107">
                  <c:v>30</c:v>
                </c:pt>
                <c:pt idx="109">
                  <c:v>93</c:v>
                </c:pt>
                <c:pt idx="110">
                  <c:v>10</c:v>
                </c:pt>
                <c:pt idx="113">
                  <c:v>54</c:v>
                </c:pt>
                <c:pt idx="114">
                  <c:v>20</c:v>
                </c:pt>
                <c:pt idx="117">
                  <c:v>18</c:v>
                </c:pt>
                <c:pt idx="119">
                  <c:v>43</c:v>
                </c:pt>
                <c:pt idx="120">
                  <c:v>12</c:v>
                </c:pt>
                <c:pt idx="121">
                  <c:v>43</c:v>
                </c:pt>
                <c:pt idx="122">
                  <c:v>50</c:v>
                </c:pt>
                <c:pt idx="125">
                  <c:v>3</c:v>
                </c:pt>
                <c:pt idx="127">
                  <c:v>52</c:v>
                </c:pt>
                <c:pt idx="128">
                  <c:v>10</c:v>
                </c:pt>
                <c:pt idx="129">
                  <c:v>126</c:v>
                </c:pt>
                <c:pt idx="130">
                  <c:v>40</c:v>
                </c:pt>
                <c:pt idx="133">
                  <c:v>28</c:v>
                </c:pt>
                <c:pt idx="138">
                  <c:v>20</c:v>
                </c:pt>
                <c:pt idx="139">
                  <c:v>35</c:v>
                </c:pt>
                <c:pt idx="140">
                  <c:v>35</c:v>
                </c:pt>
                <c:pt idx="141">
                  <c:v>10</c:v>
                </c:pt>
                <c:pt idx="142">
                  <c:v>56</c:v>
                </c:pt>
                <c:pt idx="147">
                  <c:v>6</c:v>
                </c:pt>
                <c:pt idx="148">
                  <c:v>54</c:v>
                </c:pt>
                <c:pt idx="1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36-4796-BF6D-09556CE2F6F4}"/>
            </c:ext>
          </c:extLst>
        </c:ser>
        <c:ser>
          <c:idx val="7"/>
          <c:order val="7"/>
          <c:tx>
            <c:strRef>
              <c:f>'q10'!$U$5:$U$6</c:f>
              <c:strCache>
                <c:ptCount val="1"/>
                <c:pt idx="0">
                  <c:v>8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'q10'!$U$7:$U$234</c:f>
              <c:numCache>
                <c:formatCode>General</c:formatCode>
                <c:ptCount val="224"/>
                <c:pt idx="0">
                  <c:v>30</c:v>
                </c:pt>
                <c:pt idx="2">
                  <c:v>50</c:v>
                </c:pt>
                <c:pt idx="4">
                  <c:v>40</c:v>
                </c:pt>
                <c:pt idx="7">
                  <c:v>105</c:v>
                </c:pt>
                <c:pt idx="8">
                  <c:v>48</c:v>
                </c:pt>
                <c:pt idx="10">
                  <c:v>77</c:v>
                </c:pt>
                <c:pt idx="14">
                  <c:v>85</c:v>
                </c:pt>
                <c:pt idx="16">
                  <c:v>2</c:v>
                </c:pt>
                <c:pt idx="17">
                  <c:v>20</c:v>
                </c:pt>
                <c:pt idx="19">
                  <c:v>1</c:v>
                </c:pt>
                <c:pt idx="20">
                  <c:v>43</c:v>
                </c:pt>
                <c:pt idx="24">
                  <c:v>6</c:v>
                </c:pt>
                <c:pt idx="26">
                  <c:v>25</c:v>
                </c:pt>
                <c:pt idx="28">
                  <c:v>51</c:v>
                </c:pt>
                <c:pt idx="30">
                  <c:v>15</c:v>
                </c:pt>
                <c:pt idx="32">
                  <c:v>57</c:v>
                </c:pt>
                <c:pt idx="33">
                  <c:v>35</c:v>
                </c:pt>
                <c:pt idx="35">
                  <c:v>75</c:v>
                </c:pt>
                <c:pt idx="36">
                  <c:v>6</c:v>
                </c:pt>
                <c:pt idx="37">
                  <c:v>40</c:v>
                </c:pt>
                <c:pt idx="38">
                  <c:v>29</c:v>
                </c:pt>
                <c:pt idx="39">
                  <c:v>60</c:v>
                </c:pt>
                <c:pt idx="42">
                  <c:v>27</c:v>
                </c:pt>
                <c:pt idx="43">
                  <c:v>41</c:v>
                </c:pt>
                <c:pt idx="44">
                  <c:v>21</c:v>
                </c:pt>
                <c:pt idx="45">
                  <c:v>95</c:v>
                </c:pt>
                <c:pt idx="46">
                  <c:v>15</c:v>
                </c:pt>
                <c:pt idx="47">
                  <c:v>12</c:v>
                </c:pt>
                <c:pt idx="48">
                  <c:v>12</c:v>
                </c:pt>
                <c:pt idx="51">
                  <c:v>100</c:v>
                </c:pt>
                <c:pt idx="52">
                  <c:v>65</c:v>
                </c:pt>
                <c:pt idx="55">
                  <c:v>25</c:v>
                </c:pt>
                <c:pt idx="57">
                  <c:v>10</c:v>
                </c:pt>
                <c:pt idx="58">
                  <c:v>40</c:v>
                </c:pt>
                <c:pt idx="59">
                  <c:v>30</c:v>
                </c:pt>
                <c:pt idx="61">
                  <c:v>20</c:v>
                </c:pt>
                <c:pt idx="62">
                  <c:v>15</c:v>
                </c:pt>
                <c:pt idx="64">
                  <c:v>10</c:v>
                </c:pt>
                <c:pt idx="65">
                  <c:v>9</c:v>
                </c:pt>
                <c:pt idx="68">
                  <c:v>15</c:v>
                </c:pt>
                <c:pt idx="73">
                  <c:v>100</c:v>
                </c:pt>
                <c:pt idx="74">
                  <c:v>14</c:v>
                </c:pt>
                <c:pt idx="75">
                  <c:v>42</c:v>
                </c:pt>
                <c:pt idx="76">
                  <c:v>15</c:v>
                </c:pt>
                <c:pt idx="77">
                  <c:v>125</c:v>
                </c:pt>
                <c:pt idx="78">
                  <c:v>40</c:v>
                </c:pt>
                <c:pt idx="79">
                  <c:v>29</c:v>
                </c:pt>
                <c:pt idx="80">
                  <c:v>10</c:v>
                </c:pt>
                <c:pt idx="81">
                  <c:v>5</c:v>
                </c:pt>
                <c:pt idx="82">
                  <c:v>20</c:v>
                </c:pt>
                <c:pt idx="84">
                  <c:v>6</c:v>
                </c:pt>
                <c:pt idx="85">
                  <c:v>30</c:v>
                </c:pt>
                <c:pt idx="86">
                  <c:v>28</c:v>
                </c:pt>
                <c:pt idx="87">
                  <c:v>39</c:v>
                </c:pt>
                <c:pt idx="88">
                  <c:v>14</c:v>
                </c:pt>
                <c:pt idx="89">
                  <c:v>25</c:v>
                </c:pt>
                <c:pt idx="90">
                  <c:v>47</c:v>
                </c:pt>
                <c:pt idx="94">
                  <c:v>35</c:v>
                </c:pt>
                <c:pt idx="95">
                  <c:v>85</c:v>
                </c:pt>
                <c:pt idx="97">
                  <c:v>11</c:v>
                </c:pt>
                <c:pt idx="98">
                  <c:v>48</c:v>
                </c:pt>
                <c:pt idx="99">
                  <c:v>80</c:v>
                </c:pt>
                <c:pt idx="100">
                  <c:v>76</c:v>
                </c:pt>
                <c:pt idx="103">
                  <c:v>68</c:v>
                </c:pt>
                <c:pt idx="104">
                  <c:v>94</c:v>
                </c:pt>
                <c:pt idx="107">
                  <c:v>12</c:v>
                </c:pt>
                <c:pt idx="111">
                  <c:v>43</c:v>
                </c:pt>
                <c:pt idx="113">
                  <c:v>12</c:v>
                </c:pt>
                <c:pt idx="117">
                  <c:v>85</c:v>
                </c:pt>
                <c:pt idx="118">
                  <c:v>15</c:v>
                </c:pt>
                <c:pt idx="119">
                  <c:v>25</c:v>
                </c:pt>
                <c:pt idx="120">
                  <c:v>30</c:v>
                </c:pt>
                <c:pt idx="122">
                  <c:v>14</c:v>
                </c:pt>
                <c:pt idx="125">
                  <c:v>30</c:v>
                </c:pt>
                <c:pt idx="127">
                  <c:v>85</c:v>
                </c:pt>
                <c:pt idx="128">
                  <c:v>20</c:v>
                </c:pt>
                <c:pt idx="129">
                  <c:v>70</c:v>
                </c:pt>
                <c:pt idx="131">
                  <c:v>50</c:v>
                </c:pt>
                <c:pt idx="133">
                  <c:v>100</c:v>
                </c:pt>
                <c:pt idx="134">
                  <c:v>21</c:v>
                </c:pt>
                <c:pt idx="135">
                  <c:v>14</c:v>
                </c:pt>
                <c:pt idx="136">
                  <c:v>120</c:v>
                </c:pt>
                <c:pt idx="138">
                  <c:v>54</c:v>
                </c:pt>
                <c:pt idx="139">
                  <c:v>20</c:v>
                </c:pt>
                <c:pt idx="143">
                  <c:v>54</c:v>
                </c:pt>
                <c:pt idx="145">
                  <c:v>55</c:v>
                </c:pt>
                <c:pt idx="147">
                  <c:v>24</c:v>
                </c:pt>
                <c:pt idx="14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36-4796-BF6D-09556CE2F6F4}"/>
            </c:ext>
          </c:extLst>
        </c:ser>
        <c:ser>
          <c:idx val="8"/>
          <c:order val="8"/>
          <c:tx>
            <c:strRef>
              <c:f>'q10'!$V$5:$V$6</c:f>
              <c:strCache>
                <c:ptCount val="1"/>
                <c:pt idx="0">
                  <c:v>9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'q10'!$V$7:$V$234</c:f>
              <c:numCache>
                <c:formatCode>General</c:formatCode>
                <c:ptCount val="224"/>
                <c:pt idx="0">
                  <c:v>30</c:v>
                </c:pt>
                <c:pt idx="1">
                  <c:v>30</c:v>
                </c:pt>
                <c:pt idx="2">
                  <c:v>100</c:v>
                </c:pt>
                <c:pt idx="4">
                  <c:v>76</c:v>
                </c:pt>
                <c:pt idx="5">
                  <c:v>12</c:v>
                </c:pt>
                <c:pt idx="6">
                  <c:v>63</c:v>
                </c:pt>
                <c:pt idx="10">
                  <c:v>20</c:v>
                </c:pt>
                <c:pt idx="13">
                  <c:v>20</c:v>
                </c:pt>
                <c:pt idx="14">
                  <c:v>44</c:v>
                </c:pt>
                <c:pt idx="15">
                  <c:v>20</c:v>
                </c:pt>
                <c:pt idx="17">
                  <c:v>55</c:v>
                </c:pt>
                <c:pt idx="20">
                  <c:v>40</c:v>
                </c:pt>
                <c:pt idx="22">
                  <c:v>61</c:v>
                </c:pt>
                <c:pt idx="25">
                  <c:v>39</c:v>
                </c:pt>
                <c:pt idx="26">
                  <c:v>30</c:v>
                </c:pt>
                <c:pt idx="27">
                  <c:v>40</c:v>
                </c:pt>
                <c:pt idx="29">
                  <c:v>30</c:v>
                </c:pt>
                <c:pt idx="30">
                  <c:v>33</c:v>
                </c:pt>
                <c:pt idx="31">
                  <c:v>5</c:v>
                </c:pt>
                <c:pt idx="35">
                  <c:v>2</c:v>
                </c:pt>
                <c:pt idx="37">
                  <c:v>15</c:v>
                </c:pt>
                <c:pt idx="38">
                  <c:v>34</c:v>
                </c:pt>
                <c:pt idx="39">
                  <c:v>6</c:v>
                </c:pt>
                <c:pt idx="42">
                  <c:v>10</c:v>
                </c:pt>
                <c:pt idx="44">
                  <c:v>20</c:v>
                </c:pt>
                <c:pt idx="45">
                  <c:v>40</c:v>
                </c:pt>
                <c:pt idx="46">
                  <c:v>36</c:v>
                </c:pt>
                <c:pt idx="49">
                  <c:v>25</c:v>
                </c:pt>
                <c:pt idx="50">
                  <c:v>20</c:v>
                </c:pt>
                <c:pt idx="51">
                  <c:v>21</c:v>
                </c:pt>
                <c:pt idx="52">
                  <c:v>2</c:v>
                </c:pt>
                <c:pt idx="53">
                  <c:v>42</c:v>
                </c:pt>
                <c:pt idx="54">
                  <c:v>20</c:v>
                </c:pt>
                <c:pt idx="55">
                  <c:v>15</c:v>
                </c:pt>
                <c:pt idx="56">
                  <c:v>3</c:v>
                </c:pt>
                <c:pt idx="58">
                  <c:v>26</c:v>
                </c:pt>
                <c:pt idx="60">
                  <c:v>15</c:v>
                </c:pt>
                <c:pt idx="61">
                  <c:v>104</c:v>
                </c:pt>
                <c:pt idx="62">
                  <c:v>52</c:v>
                </c:pt>
                <c:pt idx="63">
                  <c:v>19</c:v>
                </c:pt>
                <c:pt idx="64">
                  <c:v>15</c:v>
                </c:pt>
                <c:pt idx="66">
                  <c:v>10</c:v>
                </c:pt>
                <c:pt idx="70">
                  <c:v>13</c:v>
                </c:pt>
                <c:pt idx="71">
                  <c:v>9</c:v>
                </c:pt>
                <c:pt idx="75">
                  <c:v>60</c:v>
                </c:pt>
                <c:pt idx="77">
                  <c:v>30</c:v>
                </c:pt>
                <c:pt idx="78">
                  <c:v>82</c:v>
                </c:pt>
                <c:pt idx="79">
                  <c:v>40</c:v>
                </c:pt>
                <c:pt idx="80">
                  <c:v>100</c:v>
                </c:pt>
                <c:pt idx="81">
                  <c:v>41</c:v>
                </c:pt>
                <c:pt idx="82">
                  <c:v>35</c:v>
                </c:pt>
                <c:pt idx="83">
                  <c:v>15</c:v>
                </c:pt>
                <c:pt idx="85">
                  <c:v>6</c:v>
                </c:pt>
                <c:pt idx="86">
                  <c:v>5</c:v>
                </c:pt>
                <c:pt idx="87">
                  <c:v>65</c:v>
                </c:pt>
                <c:pt idx="88">
                  <c:v>20</c:v>
                </c:pt>
                <c:pt idx="90">
                  <c:v>80</c:v>
                </c:pt>
                <c:pt idx="92">
                  <c:v>70</c:v>
                </c:pt>
                <c:pt idx="94">
                  <c:v>23</c:v>
                </c:pt>
                <c:pt idx="95">
                  <c:v>20</c:v>
                </c:pt>
                <c:pt idx="96">
                  <c:v>10</c:v>
                </c:pt>
                <c:pt idx="97">
                  <c:v>35</c:v>
                </c:pt>
                <c:pt idx="98">
                  <c:v>95</c:v>
                </c:pt>
                <c:pt idx="99">
                  <c:v>18</c:v>
                </c:pt>
                <c:pt idx="100">
                  <c:v>15</c:v>
                </c:pt>
                <c:pt idx="101">
                  <c:v>20</c:v>
                </c:pt>
                <c:pt idx="103">
                  <c:v>13</c:v>
                </c:pt>
                <c:pt idx="104">
                  <c:v>35</c:v>
                </c:pt>
                <c:pt idx="107">
                  <c:v>21</c:v>
                </c:pt>
                <c:pt idx="109">
                  <c:v>15</c:v>
                </c:pt>
                <c:pt idx="113">
                  <c:v>75</c:v>
                </c:pt>
                <c:pt idx="114">
                  <c:v>30</c:v>
                </c:pt>
                <c:pt idx="117">
                  <c:v>35</c:v>
                </c:pt>
                <c:pt idx="118">
                  <c:v>35</c:v>
                </c:pt>
                <c:pt idx="119">
                  <c:v>12</c:v>
                </c:pt>
                <c:pt idx="121">
                  <c:v>37</c:v>
                </c:pt>
                <c:pt idx="122">
                  <c:v>10</c:v>
                </c:pt>
                <c:pt idx="123">
                  <c:v>36</c:v>
                </c:pt>
                <c:pt idx="124">
                  <c:v>20</c:v>
                </c:pt>
                <c:pt idx="125">
                  <c:v>35</c:v>
                </c:pt>
                <c:pt idx="126">
                  <c:v>45</c:v>
                </c:pt>
                <c:pt idx="129">
                  <c:v>10</c:v>
                </c:pt>
                <c:pt idx="132">
                  <c:v>33</c:v>
                </c:pt>
                <c:pt idx="133">
                  <c:v>5</c:v>
                </c:pt>
                <c:pt idx="135">
                  <c:v>97</c:v>
                </c:pt>
                <c:pt idx="136">
                  <c:v>20</c:v>
                </c:pt>
                <c:pt idx="137">
                  <c:v>23</c:v>
                </c:pt>
                <c:pt idx="138">
                  <c:v>30</c:v>
                </c:pt>
                <c:pt idx="139">
                  <c:v>95</c:v>
                </c:pt>
                <c:pt idx="140">
                  <c:v>50</c:v>
                </c:pt>
                <c:pt idx="141">
                  <c:v>26</c:v>
                </c:pt>
                <c:pt idx="142">
                  <c:v>24</c:v>
                </c:pt>
                <c:pt idx="143">
                  <c:v>30</c:v>
                </c:pt>
                <c:pt idx="144">
                  <c:v>10</c:v>
                </c:pt>
                <c:pt idx="145">
                  <c:v>35</c:v>
                </c:pt>
                <c:pt idx="146">
                  <c:v>25</c:v>
                </c:pt>
                <c:pt idx="14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36-4796-BF6D-09556CE2F6F4}"/>
            </c:ext>
          </c:extLst>
        </c:ser>
        <c:ser>
          <c:idx val="9"/>
          <c:order val="9"/>
          <c:tx>
            <c:strRef>
              <c:f>'q10'!$W$5:$W$6</c:f>
              <c:strCache>
                <c:ptCount val="1"/>
                <c:pt idx="0">
                  <c:v>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'q10'!$W$7:$W$234</c:f>
              <c:numCache>
                <c:formatCode>General</c:formatCode>
                <c:ptCount val="224"/>
                <c:pt idx="0">
                  <c:v>40</c:v>
                </c:pt>
                <c:pt idx="2">
                  <c:v>50</c:v>
                </c:pt>
                <c:pt idx="5">
                  <c:v>25</c:v>
                </c:pt>
                <c:pt idx="6">
                  <c:v>20</c:v>
                </c:pt>
                <c:pt idx="7">
                  <c:v>40</c:v>
                </c:pt>
                <c:pt idx="8">
                  <c:v>90</c:v>
                </c:pt>
                <c:pt idx="9">
                  <c:v>20</c:v>
                </c:pt>
                <c:pt idx="11">
                  <c:v>30</c:v>
                </c:pt>
                <c:pt idx="13">
                  <c:v>5</c:v>
                </c:pt>
                <c:pt idx="16">
                  <c:v>24</c:v>
                </c:pt>
                <c:pt idx="18">
                  <c:v>30</c:v>
                </c:pt>
                <c:pt idx="21">
                  <c:v>23</c:v>
                </c:pt>
                <c:pt idx="26">
                  <c:v>52</c:v>
                </c:pt>
                <c:pt idx="27">
                  <c:v>56</c:v>
                </c:pt>
                <c:pt idx="28">
                  <c:v>10</c:v>
                </c:pt>
                <c:pt idx="33">
                  <c:v>30</c:v>
                </c:pt>
                <c:pt idx="34">
                  <c:v>30</c:v>
                </c:pt>
                <c:pt idx="36">
                  <c:v>40</c:v>
                </c:pt>
                <c:pt idx="37">
                  <c:v>30</c:v>
                </c:pt>
                <c:pt idx="38">
                  <c:v>20</c:v>
                </c:pt>
                <c:pt idx="39">
                  <c:v>10</c:v>
                </c:pt>
                <c:pt idx="43">
                  <c:v>55</c:v>
                </c:pt>
                <c:pt idx="45">
                  <c:v>40</c:v>
                </c:pt>
                <c:pt idx="46">
                  <c:v>30</c:v>
                </c:pt>
                <c:pt idx="47">
                  <c:v>12</c:v>
                </c:pt>
                <c:pt idx="50">
                  <c:v>32</c:v>
                </c:pt>
                <c:pt idx="51">
                  <c:v>40</c:v>
                </c:pt>
                <c:pt idx="53">
                  <c:v>10</c:v>
                </c:pt>
                <c:pt idx="54">
                  <c:v>14</c:v>
                </c:pt>
                <c:pt idx="56">
                  <c:v>38</c:v>
                </c:pt>
                <c:pt idx="57">
                  <c:v>8</c:v>
                </c:pt>
                <c:pt idx="62">
                  <c:v>125</c:v>
                </c:pt>
                <c:pt idx="63">
                  <c:v>15</c:v>
                </c:pt>
                <c:pt idx="64">
                  <c:v>25</c:v>
                </c:pt>
                <c:pt idx="66">
                  <c:v>5</c:v>
                </c:pt>
                <c:pt idx="73">
                  <c:v>30</c:v>
                </c:pt>
                <c:pt idx="75">
                  <c:v>144</c:v>
                </c:pt>
                <c:pt idx="76">
                  <c:v>15</c:v>
                </c:pt>
                <c:pt idx="77">
                  <c:v>135</c:v>
                </c:pt>
                <c:pt idx="81">
                  <c:v>23</c:v>
                </c:pt>
                <c:pt idx="82">
                  <c:v>12</c:v>
                </c:pt>
                <c:pt idx="85">
                  <c:v>79</c:v>
                </c:pt>
                <c:pt idx="86">
                  <c:v>9</c:v>
                </c:pt>
                <c:pt idx="87">
                  <c:v>26</c:v>
                </c:pt>
                <c:pt idx="88">
                  <c:v>68</c:v>
                </c:pt>
                <c:pt idx="89">
                  <c:v>50</c:v>
                </c:pt>
                <c:pt idx="90">
                  <c:v>57</c:v>
                </c:pt>
                <c:pt idx="91">
                  <c:v>48</c:v>
                </c:pt>
                <c:pt idx="95">
                  <c:v>45</c:v>
                </c:pt>
                <c:pt idx="96">
                  <c:v>49</c:v>
                </c:pt>
                <c:pt idx="97">
                  <c:v>45</c:v>
                </c:pt>
                <c:pt idx="98">
                  <c:v>20</c:v>
                </c:pt>
                <c:pt idx="99">
                  <c:v>46</c:v>
                </c:pt>
                <c:pt idx="100">
                  <c:v>36</c:v>
                </c:pt>
                <c:pt idx="101">
                  <c:v>6</c:v>
                </c:pt>
                <c:pt idx="102">
                  <c:v>168</c:v>
                </c:pt>
                <c:pt idx="104">
                  <c:v>10</c:v>
                </c:pt>
                <c:pt idx="105">
                  <c:v>25</c:v>
                </c:pt>
                <c:pt idx="107">
                  <c:v>37</c:v>
                </c:pt>
                <c:pt idx="108">
                  <c:v>4</c:v>
                </c:pt>
                <c:pt idx="109">
                  <c:v>40</c:v>
                </c:pt>
                <c:pt idx="112">
                  <c:v>50</c:v>
                </c:pt>
                <c:pt idx="114">
                  <c:v>2</c:v>
                </c:pt>
                <c:pt idx="117">
                  <c:v>70</c:v>
                </c:pt>
                <c:pt idx="118">
                  <c:v>40</c:v>
                </c:pt>
                <c:pt idx="119">
                  <c:v>4</c:v>
                </c:pt>
                <c:pt idx="120">
                  <c:v>93</c:v>
                </c:pt>
                <c:pt idx="121">
                  <c:v>10</c:v>
                </c:pt>
                <c:pt idx="123">
                  <c:v>100</c:v>
                </c:pt>
                <c:pt idx="125">
                  <c:v>50</c:v>
                </c:pt>
                <c:pt idx="127">
                  <c:v>13</c:v>
                </c:pt>
                <c:pt idx="129">
                  <c:v>55</c:v>
                </c:pt>
                <c:pt idx="132">
                  <c:v>10</c:v>
                </c:pt>
                <c:pt idx="133">
                  <c:v>96</c:v>
                </c:pt>
                <c:pt idx="134">
                  <c:v>21</c:v>
                </c:pt>
                <c:pt idx="135">
                  <c:v>72</c:v>
                </c:pt>
                <c:pt idx="137">
                  <c:v>105</c:v>
                </c:pt>
                <c:pt idx="139">
                  <c:v>10</c:v>
                </c:pt>
                <c:pt idx="140">
                  <c:v>49</c:v>
                </c:pt>
                <c:pt idx="141">
                  <c:v>46</c:v>
                </c:pt>
                <c:pt idx="142">
                  <c:v>33</c:v>
                </c:pt>
                <c:pt idx="143">
                  <c:v>36</c:v>
                </c:pt>
                <c:pt idx="144">
                  <c:v>37</c:v>
                </c:pt>
                <c:pt idx="148">
                  <c:v>43</c:v>
                </c:pt>
                <c:pt idx="149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36-4796-BF6D-09556CE2F6F4}"/>
            </c:ext>
          </c:extLst>
        </c:ser>
        <c:ser>
          <c:idx val="10"/>
          <c:order val="10"/>
          <c:tx>
            <c:strRef>
              <c:f>'q10'!$X$5:$X$6</c:f>
              <c:strCache>
                <c:ptCount val="1"/>
                <c:pt idx="0">
                  <c:v>11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'q10'!$X$7:$X$234</c:f>
              <c:numCache>
                <c:formatCode>General</c:formatCode>
                <c:ptCount val="224"/>
                <c:pt idx="0">
                  <c:v>98</c:v>
                </c:pt>
                <c:pt idx="3">
                  <c:v>20</c:v>
                </c:pt>
                <c:pt idx="5">
                  <c:v>60</c:v>
                </c:pt>
                <c:pt idx="7">
                  <c:v>56</c:v>
                </c:pt>
                <c:pt idx="8">
                  <c:v>4</c:v>
                </c:pt>
                <c:pt idx="9">
                  <c:v>52</c:v>
                </c:pt>
                <c:pt idx="11">
                  <c:v>30</c:v>
                </c:pt>
                <c:pt idx="12">
                  <c:v>28</c:v>
                </c:pt>
                <c:pt idx="13">
                  <c:v>70</c:v>
                </c:pt>
                <c:pt idx="14">
                  <c:v>8</c:v>
                </c:pt>
                <c:pt idx="15">
                  <c:v>5</c:v>
                </c:pt>
                <c:pt idx="16">
                  <c:v>12</c:v>
                </c:pt>
                <c:pt idx="17">
                  <c:v>85</c:v>
                </c:pt>
                <c:pt idx="18">
                  <c:v>6</c:v>
                </c:pt>
                <c:pt idx="19">
                  <c:v>28</c:v>
                </c:pt>
                <c:pt idx="23">
                  <c:v>74</c:v>
                </c:pt>
                <c:pt idx="26">
                  <c:v>60</c:v>
                </c:pt>
                <c:pt idx="27">
                  <c:v>40</c:v>
                </c:pt>
                <c:pt idx="28">
                  <c:v>32</c:v>
                </c:pt>
                <c:pt idx="29">
                  <c:v>12</c:v>
                </c:pt>
                <c:pt idx="30">
                  <c:v>36</c:v>
                </c:pt>
                <c:pt idx="33">
                  <c:v>40</c:v>
                </c:pt>
                <c:pt idx="35">
                  <c:v>48</c:v>
                </c:pt>
                <c:pt idx="36">
                  <c:v>6</c:v>
                </c:pt>
                <c:pt idx="38">
                  <c:v>90</c:v>
                </c:pt>
                <c:pt idx="39">
                  <c:v>58</c:v>
                </c:pt>
                <c:pt idx="41">
                  <c:v>4</c:v>
                </c:pt>
                <c:pt idx="44">
                  <c:v>40</c:v>
                </c:pt>
                <c:pt idx="45">
                  <c:v>21</c:v>
                </c:pt>
                <c:pt idx="47">
                  <c:v>50</c:v>
                </c:pt>
                <c:pt idx="50">
                  <c:v>14</c:v>
                </c:pt>
                <c:pt idx="51">
                  <c:v>58</c:v>
                </c:pt>
                <c:pt idx="52">
                  <c:v>16</c:v>
                </c:pt>
                <c:pt idx="53">
                  <c:v>50</c:v>
                </c:pt>
                <c:pt idx="56">
                  <c:v>20</c:v>
                </c:pt>
                <c:pt idx="57">
                  <c:v>10</c:v>
                </c:pt>
                <c:pt idx="59">
                  <c:v>10</c:v>
                </c:pt>
                <c:pt idx="60">
                  <c:v>30</c:v>
                </c:pt>
                <c:pt idx="61">
                  <c:v>80</c:v>
                </c:pt>
                <c:pt idx="62">
                  <c:v>28</c:v>
                </c:pt>
                <c:pt idx="63">
                  <c:v>10</c:v>
                </c:pt>
                <c:pt idx="65">
                  <c:v>19</c:v>
                </c:pt>
                <c:pt idx="66">
                  <c:v>15</c:v>
                </c:pt>
                <c:pt idx="67">
                  <c:v>40</c:v>
                </c:pt>
                <c:pt idx="70">
                  <c:v>80</c:v>
                </c:pt>
                <c:pt idx="72">
                  <c:v>16</c:v>
                </c:pt>
                <c:pt idx="73">
                  <c:v>55</c:v>
                </c:pt>
                <c:pt idx="74">
                  <c:v>6</c:v>
                </c:pt>
                <c:pt idx="77">
                  <c:v>10</c:v>
                </c:pt>
                <c:pt idx="78">
                  <c:v>12</c:v>
                </c:pt>
                <c:pt idx="79">
                  <c:v>70</c:v>
                </c:pt>
                <c:pt idx="80">
                  <c:v>38</c:v>
                </c:pt>
                <c:pt idx="82">
                  <c:v>6</c:v>
                </c:pt>
                <c:pt idx="83">
                  <c:v>4</c:v>
                </c:pt>
                <c:pt idx="84">
                  <c:v>24</c:v>
                </c:pt>
                <c:pt idx="85">
                  <c:v>42</c:v>
                </c:pt>
                <c:pt idx="87">
                  <c:v>118</c:v>
                </c:pt>
                <c:pt idx="90">
                  <c:v>68</c:v>
                </c:pt>
                <c:pt idx="91">
                  <c:v>70</c:v>
                </c:pt>
                <c:pt idx="94">
                  <c:v>55</c:v>
                </c:pt>
                <c:pt idx="95">
                  <c:v>55</c:v>
                </c:pt>
                <c:pt idx="96">
                  <c:v>74</c:v>
                </c:pt>
                <c:pt idx="97">
                  <c:v>45</c:v>
                </c:pt>
                <c:pt idx="99">
                  <c:v>73</c:v>
                </c:pt>
                <c:pt idx="100">
                  <c:v>45</c:v>
                </c:pt>
                <c:pt idx="101">
                  <c:v>64</c:v>
                </c:pt>
                <c:pt idx="102">
                  <c:v>42</c:v>
                </c:pt>
                <c:pt idx="104">
                  <c:v>50</c:v>
                </c:pt>
                <c:pt idx="107">
                  <c:v>65</c:v>
                </c:pt>
                <c:pt idx="109">
                  <c:v>35</c:v>
                </c:pt>
                <c:pt idx="110">
                  <c:v>4</c:v>
                </c:pt>
                <c:pt idx="112">
                  <c:v>6</c:v>
                </c:pt>
                <c:pt idx="114">
                  <c:v>3</c:v>
                </c:pt>
                <c:pt idx="115">
                  <c:v>50</c:v>
                </c:pt>
                <c:pt idx="117">
                  <c:v>30</c:v>
                </c:pt>
                <c:pt idx="118">
                  <c:v>116</c:v>
                </c:pt>
                <c:pt idx="119">
                  <c:v>21</c:v>
                </c:pt>
                <c:pt idx="120">
                  <c:v>40</c:v>
                </c:pt>
                <c:pt idx="121">
                  <c:v>123</c:v>
                </c:pt>
                <c:pt idx="122">
                  <c:v>15</c:v>
                </c:pt>
                <c:pt idx="123">
                  <c:v>40</c:v>
                </c:pt>
                <c:pt idx="124">
                  <c:v>110</c:v>
                </c:pt>
                <c:pt idx="125">
                  <c:v>50</c:v>
                </c:pt>
                <c:pt idx="126">
                  <c:v>60</c:v>
                </c:pt>
                <c:pt idx="127">
                  <c:v>110</c:v>
                </c:pt>
                <c:pt idx="128">
                  <c:v>40</c:v>
                </c:pt>
                <c:pt idx="129">
                  <c:v>42</c:v>
                </c:pt>
                <c:pt idx="130">
                  <c:v>26</c:v>
                </c:pt>
                <c:pt idx="132">
                  <c:v>85</c:v>
                </c:pt>
                <c:pt idx="135">
                  <c:v>37</c:v>
                </c:pt>
                <c:pt idx="136">
                  <c:v>15</c:v>
                </c:pt>
                <c:pt idx="137">
                  <c:v>42</c:v>
                </c:pt>
                <c:pt idx="138">
                  <c:v>30</c:v>
                </c:pt>
                <c:pt idx="139">
                  <c:v>68</c:v>
                </c:pt>
                <c:pt idx="140">
                  <c:v>24</c:v>
                </c:pt>
                <c:pt idx="141">
                  <c:v>52</c:v>
                </c:pt>
                <c:pt idx="143">
                  <c:v>115</c:v>
                </c:pt>
                <c:pt idx="145">
                  <c:v>90</c:v>
                </c:pt>
                <c:pt idx="147">
                  <c:v>20</c:v>
                </c:pt>
                <c:pt idx="14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36-4796-BF6D-09556CE2F6F4}"/>
            </c:ext>
          </c:extLst>
        </c:ser>
        <c:ser>
          <c:idx val="11"/>
          <c:order val="11"/>
          <c:tx>
            <c:strRef>
              <c:f>'q10'!$Y$5:$Y$6</c:f>
              <c:strCache>
                <c:ptCount val="1"/>
                <c:pt idx="0">
                  <c:v>12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</c:dPt>
          <c:cat>
            <c:multiLvlStrRef>
              <c:f>'q10'!$M$7:$M$234</c:f>
              <c:multiLvlStrCache>
                <c:ptCount val="224"/>
                <c:lvl>
                  <c:pt idx="0">
                    <c:v>Alice Mutton</c:v>
                  </c:pt>
                  <c:pt idx="1">
                    <c:v>Aniseed Syrup</c:v>
                  </c:pt>
                  <c:pt idx="2">
                    <c:v>Boston Crab Meat</c:v>
                  </c:pt>
                  <c:pt idx="3">
                    <c:v>CÃ´te de Blaye</c:v>
                  </c:pt>
                  <c:pt idx="4">
                    <c:v>Camembert Pierrot</c:v>
                  </c:pt>
                  <c:pt idx="5">
                    <c:v>Carnarvon Tigers</c:v>
                  </c:pt>
                  <c:pt idx="6">
                    <c:v>Chai</c:v>
                  </c:pt>
                  <c:pt idx="7">
                    <c:v>Chang</c:v>
                  </c:pt>
                  <c:pt idx="8">
                    <c:v>Chartreuse verte</c:v>
                  </c:pt>
                  <c:pt idx="9">
                    <c:v>Chef Anton's Cajun Seasoning</c:v>
                  </c:pt>
                  <c:pt idx="10">
                    <c:v>Chef Anton's Gumbo Mix</c:v>
                  </c:pt>
                  <c:pt idx="11">
                    <c:v>Escargots de Bourgogne</c:v>
                  </c:pt>
                  <c:pt idx="12">
                    <c:v>Filo Mix</c:v>
                  </c:pt>
                  <c:pt idx="13">
                    <c:v>FlÃ¸temysost</c:v>
                  </c:pt>
                  <c:pt idx="14">
                    <c:v>Geitost</c:v>
                  </c:pt>
                  <c:pt idx="15">
                    <c:v>Genen Shouyu</c:v>
                  </c:pt>
                  <c:pt idx="16">
                    <c:v>Gnocchi di nonna Alice</c:v>
                  </c:pt>
                  <c:pt idx="17">
                    <c:v>Gorgonzola Telino</c:v>
                  </c:pt>
                  <c:pt idx="18">
                    <c:v>Grandma's Boysenberry Spread</c:v>
                  </c:pt>
                  <c:pt idx="19">
                    <c:v>Gravad lax</c:v>
                  </c:pt>
                  <c:pt idx="20">
                    <c:v>GuaranÃ¡ FantÃ¡stica</c:v>
                  </c:pt>
                  <c:pt idx="21">
                    <c:v>Gudbrandsdalsost</c:v>
                  </c:pt>
                  <c:pt idx="22">
                    <c:v>Gula Malacca</c:v>
                  </c:pt>
                  <c:pt idx="23">
                    <c:v>GumbÃ¤r GummibÃ¤rchen</c:v>
                  </c:pt>
                  <c:pt idx="24">
                    <c:v>Gustaf's KnÃ¤ckebrÃ¶d</c:v>
                  </c:pt>
                  <c:pt idx="25">
                    <c:v>Ikura</c:v>
                  </c:pt>
                  <c:pt idx="26">
                    <c:v>Inlagd Sill</c:v>
                  </c:pt>
                  <c:pt idx="27">
                    <c:v>Ipoh Coffee</c:v>
                  </c:pt>
                  <c:pt idx="28">
                    <c:v>Jack's New England Clam Chowder</c:v>
                  </c:pt>
                  <c:pt idx="29">
                    <c:v>Konbu</c:v>
                  </c:pt>
                  <c:pt idx="30">
                    <c:v>LakkalikÃ¶Ã¶ri</c:v>
                  </c:pt>
                  <c:pt idx="31">
                    <c:v>Laughing Lumberjack Lager</c:v>
                  </c:pt>
                  <c:pt idx="32">
                    <c:v>Longlife Tofu</c:v>
                  </c:pt>
                  <c:pt idx="33">
                    <c:v>Louisiana Fiery Hot Pepper Sauce</c:v>
                  </c:pt>
                  <c:pt idx="34">
                    <c:v>Louisiana Hot Spiced Okra</c:v>
                  </c:pt>
                  <c:pt idx="35">
                    <c:v>Manjimup Dried Apples</c:v>
                  </c:pt>
                  <c:pt idx="36">
                    <c:v>Mascarpone Fabioli</c:v>
                  </c:pt>
                  <c:pt idx="37">
                    <c:v>Maxilaku</c:v>
                  </c:pt>
                  <c:pt idx="38">
                    <c:v>Mozzarella di Giovanni</c:v>
                  </c:pt>
                  <c:pt idx="39">
                    <c:v>Nord-Ost Matjeshering</c:v>
                  </c:pt>
                  <c:pt idx="40">
                    <c:v>Northwoods Cranberry Sauce</c:v>
                  </c:pt>
                  <c:pt idx="41">
                    <c:v>NuNuCa NuÃŸ-Nougat-Creme</c:v>
                  </c:pt>
                  <c:pt idx="42">
                    <c:v>Original Frankfurter grÃ¼ne SoÃŸe</c:v>
                  </c:pt>
                  <c:pt idx="43">
                    <c:v>Outback Lager</c:v>
                  </c:pt>
                  <c:pt idx="44">
                    <c:v>PÃ¢tÃ© chinois</c:v>
                  </c:pt>
                  <c:pt idx="45">
                    <c:v>Pavlova</c:v>
                  </c:pt>
                  <c:pt idx="46">
                    <c:v>Perth Pasties</c:v>
                  </c:pt>
                  <c:pt idx="47">
                    <c:v>Queso Cabrales</c:v>
                  </c:pt>
                  <c:pt idx="48">
                    <c:v>Queso Manchego La Pastora</c:v>
                  </c:pt>
                  <c:pt idx="49">
                    <c:v>RÃ¶d Kaviar</c:v>
                  </c:pt>
                  <c:pt idx="50">
                    <c:v>RÃ¶ssle Sauerkraut</c:v>
                  </c:pt>
                  <c:pt idx="51">
                    <c:v>Raclette Courdavault</c:v>
                  </c:pt>
                  <c:pt idx="52">
                    <c:v>Ravioli Angelo</c:v>
                  </c:pt>
                  <c:pt idx="53">
                    <c:v>RhÃ¶nbrÃ¤u Klosterbier</c:v>
                  </c:pt>
                  <c:pt idx="54">
                    <c:v>Sasquatch Ale</c:v>
                  </c:pt>
                  <c:pt idx="55">
                    <c:v>Schoggi Schokolade</c:v>
                  </c:pt>
                  <c:pt idx="56">
                    <c:v>Scottish Longbreads</c:v>
                  </c:pt>
                  <c:pt idx="57">
                    <c:v>Singaporean Hokkien Fried Mee</c:v>
                  </c:pt>
                  <c:pt idx="58">
                    <c:v>Sir Rodney's Marmalade</c:v>
                  </c:pt>
                  <c:pt idx="59">
                    <c:v>Sir Rodney's Scones</c:v>
                  </c:pt>
                  <c:pt idx="60">
                    <c:v>Spegesild</c:v>
                  </c:pt>
                  <c:pt idx="61">
                    <c:v>Steeleye Stout</c:v>
                  </c:pt>
                  <c:pt idx="62">
                    <c:v>Tarte au sucre</c:v>
                  </c:pt>
                  <c:pt idx="63">
                    <c:v>Teatime Chocolate Biscuits</c:v>
                  </c:pt>
                  <c:pt idx="64">
                    <c:v>ThÃ¼ringer Rostbratwurst</c:v>
                  </c:pt>
                  <c:pt idx="65">
                    <c:v>Tofu</c:v>
                  </c:pt>
                  <c:pt idx="66">
                    <c:v>TourtiÃ¨re</c:v>
                  </c:pt>
                  <c:pt idx="67">
                    <c:v>TunnbrÃ¶d</c:v>
                  </c:pt>
                  <c:pt idx="68">
                    <c:v>Uncle Bob's Organic Dried Pears</c:v>
                  </c:pt>
                  <c:pt idx="69">
                    <c:v>Valkoinen suklaa</c:v>
                  </c:pt>
                  <c:pt idx="70">
                    <c:v>Vegie-spread</c:v>
                  </c:pt>
                  <c:pt idx="71">
                    <c:v>Wimmers gute SemmelknÃ¶del</c:v>
                  </c:pt>
                  <c:pt idx="72">
                    <c:v>Zaanse koeken</c:v>
                  </c:pt>
                  <c:pt idx="73">
                    <c:v>Alice Mutton</c:v>
                  </c:pt>
                  <c:pt idx="74">
                    <c:v>Aniseed Syrup</c:v>
                  </c:pt>
                  <c:pt idx="75">
                    <c:v>Boston Crab Meat</c:v>
                  </c:pt>
                  <c:pt idx="76">
                    <c:v>CÃ´te de Blaye</c:v>
                  </c:pt>
                  <c:pt idx="77">
                    <c:v>Camembert Pierrot</c:v>
                  </c:pt>
                  <c:pt idx="78">
                    <c:v>Carnarvon Tigers</c:v>
                  </c:pt>
                  <c:pt idx="79">
                    <c:v>Chai</c:v>
                  </c:pt>
                  <c:pt idx="80">
                    <c:v>Chang</c:v>
                  </c:pt>
                  <c:pt idx="81">
                    <c:v>Chartreuse verte</c:v>
                  </c:pt>
                  <c:pt idx="82">
                    <c:v>Chef Anton's Cajun Seasoning</c:v>
                  </c:pt>
                  <c:pt idx="83">
                    <c:v>Chef Anton's Gumbo Mix</c:v>
                  </c:pt>
                  <c:pt idx="84">
                    <c:v>Chocolade</c:v>
                  </c:pt>
                  <c:pt idx="85">
                    <c:v>Escargots de Bourgogne</c:v>
                  </c:pt>
                  <c:pt idx="86">
                    <c:v>Filo Mix</c:v>
                  </c:pt>
                  <c:pt idx="87">
                    <c:v>FlÃ¸temysost</c:v>
                  </c:pt>
                  <c:pt idx="88">
                    <c:v>Geitost</c:v>
                  </c:pt>
                  <c:pt idx="89">
                    <c:v>Genen Shouyu</c:v>
                  </c:pt>
                  <c:pt idx="90">
                    <c:v>Gnocchi di nonna Alice</c:v>
                  </c:pt>
                  <c:pt idx="91">
                    <c:v>Gorgonzola Telino</c:v>
                  </c:pt>
                  <c:pt idx="92">
                    <c:v>Grandma's Boysenberry Spread</c:v>
                  </c:pt>
                  <c:pt idx="93">
                    <c:v>Gravad lax</c:v>
                  </c:pt>
                  <c:pt idx="94">
                    <c:v>GuaranÃ¡ FantÃ¡stica</c:v>
                  </c:pt>
                  <c:pt idx="95">
                    <c:v>Gudbrandsdalsost</c:v>
                  </c:pt>
                  <c:pt idx="96">
                    <c:v>Gula Malacca</c:v>
                  </c:pt>
                  <c:pt idx="97">
                    <c:v>GumbÃ¤r GummibÃ¤rchen</c:v>
                  </c:pt>
                  <c:pt idx="98">
                    <c:v>Gustaf's KnÃ¤ckebrÃ¶d</c:v>
                  </c:pt>
                  <c:pt idx="99">
                    <c:v>Ikura</c:v>
                  </c:pt>
                  <c:pt idx="100">
                    <c:v>Inlagd Sill</c:v>
                  </c:pt>
                  <c:pt idx="101">
                    <c:v>Ipoh Coffee</c:v>
                  </c:pt>
                  <c:pt idx="102">
                    <c:v>Jack's New England Clam Chowder</c:v>
                  </c:pt>
                  <c:pt idx="103">
                    <c:v>Konbu</c:v>
                  </c:pt>
                  <c:pt idx="104">
                    <c:v>LakkalikÃ¶Ã¶ri</c:v>
                  </c:pt>
                  <c:pt idx="105">
                    <c:v>Laughing Lumberjack Lager</c:v>
                  </c:pt>
                  <c:pt idx="106">
                    <c:v>Longlife Tofu</c:v>
                  </c:pt>
                  <c:pt idx="107">
                    <c:v>Louisiana Fiery Hot Pepper Sauce</c:v>
                  </c:pt>
                  <c:pt idx="108">
                    <c:v>Louisiana Hot Spiced Okra</c:v>
                  </c:pt>
                  <c:pt idx="109">
                    <c:v>Manjimup Dried Apples</c:v>
                  </c:pt>
                  <c:pt idx="110">
                    <c:v>Mascarpone Fabioli</c:v>
                  </c:pt>
                  <c:pt idx="111">
                    <c:v>Maxilaku</c:v>
                  </c:pt>
                  <c:pt idx="112">
                    <c:v>Mishi Kobe Niku</c:v>
                  </c:pt>
                  <c:pt idx="113">
                    <c:v>Mozzarella di Giovanni</c:v>
                  </c:pt>
                  <c:pt idx="114">
                    <c:v>Nord-Ost Matjeshering</c:v>
                  </c:pt>
                  <c:pt idx="115">
                    <c:v>Northwoods Cranberry Sauce</c:v>
                  </c:pt>
                  <c:pt idx="116">
                    <c:v>NuNuCa NuÃŸ-Nougat-Creme</c:v>
                  </c:pt>
                  <c:pt idx="117">
                    <c:v>Original Frankfurter grÃ¼ne SoÃŸe</c:v>
                  </c:pt>
                  <c:pt idx="118">
                    <c:v>Outback Lager</c:v>
                  </c:pt>
                  <c:pt idx="119">
                    <c:v>PÃ¢tÃ© chinois</c:v>
                  </c:pt>
                  <c:pt idx="120">
                    <c:v>Pavlova</c:v>
                  </c:pt>
                  <c:pt idx="121">
                    <c:v>Perth Pasties</c:v>
                  </c:pt>
                  <c:pt idx="122">
                    <c:v>Queso Cabrales</c:v>
                  </c:pt>
                  <c:pt idx="123">
                    <c:v>Queso Manchego La Pastora</c:v>
                  </c:pt>
                  <c:pt idx="124">
                    <c:v>RÃ¸gede sild</c:v>
                  </c:pt>
                  <c:pt idx="125">
                    <c:v>RÃ¶d Kaviar</c:v>
                  </c:pt>
                  <c:pt idx="126">
                    <c:v>RÃ¶ssle Sauerkraut</c:v>
                  </c:pt>
                  <c:pt idx="127">
                    <c:v>Raclette Courdavault</c:v>
                  </c:pt>
                  <c:pt idx="128">
                    <c:v>Ravioli Angelo</c:v>
                  </c:pt>
                  <c:pt idx="129">
                    <c:v>RhÃ¶nbrÃ¤u Klosterbier</c:v>
                  </c:pt>
                  <c:pt idx="130">
                    <c:v>Sasquatch Ale</c:v>
                  </c:pt>
                  <c:pt idx="131">
                    <c:v>Schoggi Schokolade</c:v>
                  </c:pt>
                  <c:pt idx="132">
                    <c:v>Scottish Longbreads</c:v>
                  </c:pt>
                  <c:pt idx="133">
                    <c:v>Singaporean Hokkien Fried Mee</c:v>
                  </c:pt>
                  <c:pt idx="134">
                    <c:v>Sir Rodney's Marmalade</c:v>
                  </c:pt>
                  <c:pt idx="135">
                    <c:v>Sir Rodney's Scones</c:v>
                  </c:pt>
                  <c:pt idx="136">
                    <c:v>Sirop d'Ã©rable</c:v>
                  </c:pt>
                  <c:pt idx="137">
                    <c:v>Spegesild</c:v>
                  </c:pt>
                  <c:pt idx="138">
                    <c:v>Steeleye Stout</c:v>
                  </c:pt>
                  <c:pt idx="139">
                    <c:v>Tarte au sucre</c:v>
                  </c:pt>
                  <c:pt idx="140">
                    <c:v>Teatime Chocolate Biscuits</c:v>
                  </c:pt>
                  <c:pt idx="141">
                    <c:v>ThÃ¼ringer Rostbratwurst</c:v>
                  </c:pt>
                  <c:pt idx="142">
                    <c:v>Tofu</c:v>
                  </c:pt>
                  <c:pt idx="143">
                    <c:v>TourtiÃ¨re</c:v>
                  </c:pt>
                  <c:pt idx="144">
                    <c:v>TunnbrÃ¶d</c:v>
                  </c:pt>
                  <c:pt idx="145">
                    <c:v>Uncle Bob's Organic Dried Pears</c:v>
                  </c:pt>
                  <c:pt idx="146">
                    <c:v>Valkoinen suklaa</c:v>
                  </c:pt>
                  <c:pt idx="147">
                    <c:v>Vegie-spread</c:v>
                  </c:pt>
                  <c:pt idx="148">
                    <c:v>Wimmers gute SemmelknÃ¶del</c:v>
                  </c:pt>
                  <c:pt idx="149">
                    <c:v>Zaanse koeken</c:v>
                  </c:pt>
                  <c:pt idx="150">
                    <c:v>Alice Mutton</c:v>
                  </c:pt>
                  <c:pt idx="151">
                    <c:v>Aniseed Syrup</c:v>
                  </c:pt>
                  <c:pt idx="152">
                    <c:v>Boston Crab Meat</c:v>
                  </c:pt>
                  <c:pt idx="153">
                    <c:v>CÃ´te de Blaye</c:v>
                  </c:pt>
                  <c:pt idx="154">
                    <c:v>Camembert Pierrot</c:v>
                  </c:pt>
                  <c:pt idx="155">
                    <c:v>Carnarvon Tigers</c:v>
                  </c:pt>
                  <c:pt idx="156">
                    <c:v>Chai</c:v>
                  </c:pt>
                  <c:pt idx="157">
                    <c:v>Chang</c:v>
                  </c:pt>
                  <c:pt idx="158">
                    <c:v>Chartreuse verte</c:v>
                  </c:pt>
                  <c:pt idx="159">
                    <c:v>Chef Anton's Cajun Seasoning</c:v>
                  </c:pt>
                  <c:pt idx="160">
                    <c:v>Chef Anton's Gumbo Mix</c:v>
                  </c:pt>
                  <c:pt idx="161">
                    <c:v>Chocolade</c:v>
                  </c:pt>
                  <c:pt idx="162">
                    <c:v>Escargots de Bourgogne</c:v>
                  </c:pt>
                  <c:pt idx="163">
                    <c:v>Filo Mix</c:v>
                  </c:pt>
                  <c:pt idx="164">
                    <c:v>FlÃ¸temysost</c:v>
                  </c:pt>
                  <c:pt idx="165">
                    <c:v>Geitost</c:v>
                  </c:pt>
                  <c:pt idx="166">
                    <c:v>Gnocchi di nonna Alice</c:v>
                  </c:pt>
                  <c:pt idx="167">
                    <c:v>Gorgonzola Telino</c:v>
                  </c:pt>
                  <c:pt idx="168">
                    <c:v>Grandma's Boysenberry Spread</c:v>
                  </c:pt>
                  <c:pt idx="169">
                    <c:v>Gravad lax</c:v>
                  </c:pt>
                  <c:pt idx="170">
                    <c:v>GuaranÃ¡ FantÃ¡stica</c:v>
                  </c:pt>
                  <c:pt idx="171">
                    <c:v>Gudbrandsdalsost</c:v>
                  </c:pt>
                  <c:pt idx="172">
                    <c:v>Gula Malacca</c:v>
                  </c:pt>
                  <c:pt idx="173">
                    <c:v>GumbÃ¤r GummibÃ¤rchen</c:v>
                  </c:pt>
                  <c:pt idx="174">
                    <c:v>Gustaf's KnÃ¤ckebrÃ¶d</c:v>
                  </c:pt>
                  <c:pt idx="175">
                    <c:v>Ikura</c:v>
                  </c:pt>
                  <c:pt idx="176">
                    <c:v>Inlagd Sill</c:v>
                  </c:pt>
                  <c:pt idx="177">
                    <c:v>Ipoh Coffee</c:v>
                  </c:pt>
                  <c:pt idx="178">
                    <c:v>Jack's New England Clam Chowder</c:v>
                  </c:pt>
                  <c:pt idx="179">
                    <c:v>Konbu</c:v>
                  </c:pt>
                  <c:pt idx="180">
                    <c:v>LakkalikÃ¶Ã¶ri</c:v>
                  </c:pt>
                  <c:pt idx="181">
                    <c:v>Laughing Lumberjack Lager</c:v>
                  </c:pt>
                  <c:pt idx="182">
                    <c:v>Longlife Tofu</c:v>
                  </c:pt>
                  <c:pt idx="183">
                    <c:v>Louisiana Fiery Hot Pepper Sauce</c:v>
                  </c:pt>
                  <c:pt idx="184">
                    <c:v>Louisiana Hot Spiced Okra</c:v>
                  </c:pt>
                  <c:pt idx="185">
                    <c:v>Manjimup Dried Apples</c:v>
                  </c:pt>
                  <c:pt idx="186">
                    <c:v>Mascarpone Fabioli</c:v>
                  </c:pt>
                  <c:pt idx="187">
                    <c:v>Maxilaku</c:v>
                  </c:pt>
                  <c:pt idx="188">
                    <c:v>Mishi Kobe Niku</c:v>
                  </c:pt>
                  <c:pt idx="189">
                    <c:v>Mozzarella di Giovanni</c:v>
                  </c:pt>
                  <c:pt idx="190">
                    <c:v>Nord-Ost Matjeshering</c:v>
                  </c:pt>
                  <c:pt idx="191">
                    <c:v>Northwoods Cranberry Sauce</c:v>
                  </c:pt>
                  <c:pt idx="192">
                    <c:v>NuNuCa NuÃŸ-Nougat-Creme</c:v>
                  </c:pt>
                  <c:pt idx="193">
                    <c:v>Original Frankfurter grÃ¼ne SoÃŸe</c:v>
                  </c:pt>
                  <c:pt idx="194">
                    <c:v>Outback Lager</c:v>
                  </c:pt>
                  <c:pt idx="195">
                    <c:v>PÃ¢tÃ© chinois</c:v>
                  </c:pt>
                  <c:pt idx="196">
                    <c:v>Pavlova</c:v>
                  </c:pt>
                  <c:pt idx="197">
                    <c:v>Perth Pasties</c:v>
                  </c:pt>
                  <c:pt idx="198">
                    <c:v>Queso Cabrales</c:v>
                  </c:pt>
                  <c:pt idx="199">
                    <c:v>RÃ¸gede sild</c:v>
                  </c:pt>
                  <c:pt idx="200">
                    <c:v>RÃ¶d Kaviar</c:v>
                  </c:pt>
                  <c:pt idx="201">
                    <c:v>RÃ¶ssle Sauerkraut</c:v>
                  </c:pt>
                  <c:pt idx="202">
                    <c:v>Raclette Courdavault</c:v>
                  </c:pt>
                  <c:pt idx="203">
                    <c:v>Ravioli Angelo</c:v>
                  </c:pt>
                  <c:pt idx="204">
                    <c:v>RhÃ¶nbrÃ¤u Klosterbier</c:v>
                  </c:pt>
                  <c:pt idx="205">
                    <c:v>Sasquatch Ale</c:v>
                  </c:pt>
                  <c:pt idx="206">
                    <c:v>Schoggi Schokolade</c:v>
                  </c:pt>
                  <c:pt idx="207">
                    <c:v>Scottish Longbreads</c:v>
                  </c:pt>
                  <c:pt idx="208">
                    <c:v>Singaporean Hokkien Fried Mee</c:v>
                  </c:pt>
                  <c:pt idx="209">
                    <c:v>Sir Rodney's Marmalade</c:v>
                  </c:pt>
                  <c:pt idx="210">
                    <c:v>Sir Rodney's Scones</c:v>
                  </c:pt>
                  <c:pt idx="211">
                    <c:v>Sirop d'Ã©rable</c:v>
                  </c:pt>
                  <c:pt idx="212">
                    <c:v>Spegesild</c:v>
                  </c:pt>
                  <c:pt idx="213">
                    <c:v>Steeleye Stout</c:v>
                  </c:pt>
                  <c:pt idx="214">
                    <c:v>Tarte au sucre</c:v>
                  </c:pt>
                  <c:pt idx="215">
                    <c:v>Teatime Chocolate Biscuits</c:v>
                  </c:pt>
                  <c:pt idx="216">
                    <c:v>ThÃ¼ringer Rostbratwurst</c:v>
                  </c:pt>
                  <c:pt idx="217">
                    <c:v>Tofu</c:v>
                  </c:pt>
                  <c:pt idx="218">
                    <c:v>TourtiÃ¨re</c:v>
                  </c:pt>
                  <c:pt idx="219">
                    <c:v>TunnbrÃ¶d</c:v>
                  </c:pt>
                  <c:pt idx="220">
                    <c:v>Uncle Bob's Organic Dried Pears</c:v>
                  </c:pt>
                  <c:pt idx="221">
                    <c:v>Vegie-spread</c:v>
                  </c:pt>
                  <c:pt idx="222">
                    <c:v>Wimmers gute SemmelknÃ¶del</c:v>
                  </c:pt>
                  <c:pt idx="223">
                    <c:v>Zaanse koeken</c:v>
                  </c:pt>
                </c:lvl>
                <c:lvl>
                  <c:pt idx="0">
                    <c:v>1994</c:v>
                  </c:pt>
                  <c:pt idx="73">
                    <c:v>1995</c:v>
                  </c:pt>
                  <c:pt idx="150">
                    <c:v>1996</c:v>
                  </c:pt>
                </c:lvl>
              </c:multiLvlStrCache>
            </c:multiLvlStrRef>
          </c:cat>
          <c:val>
            <c:numRef>
              <c:f>'q10'!$Y$7:$Y$234</c:f>
              <c:numCache>
                <c:formatCode>General</c:formatCode>
                <c:ptCount val="224"/>
                <c:pt idx="0">
                  <c:v>36</c:v>
                </c:pt>
                <c:pt idx="2">
                  <c:v>4</c:v>
                </c:pt>
                <c:pt idx="3">
                  <c:v>80</c:v>
                </c:pt>
                <c:pt idx="4">
                  <c:v>143</c:v>
                </c:pt>
                <c:pt idx="6">
                  <c:v>27</c:v>
                </c:pt>
                <c:pt idx="8">
                  <c:v>104</c:v>
                </c:pt>
                <c:pt idx="9">
                  <c:v>35</c:v>
                </c:pt>
                <c:pt idx="13">
                  <c:v>5</c:v>
                </c:pt>
                <c:pt idx="16">
                  <c:v>20</c:v>
                </c:pt>
                <c:pt idx="17">
                  <c:v>120</c:v>
                </c:pt>
                <c:pt idx="20">
                  <c:v>45</c:v>
                </c:pt>
                <c:pt idx="21">
                  <c:v>68</c:v>
                </c:pt>
                <c:pt idx="22">
                  <c:v>77</c:v>
                </c:pt>
                <c:pt idx="23">
                  <c:v>16</c:v>
                </c:pt>
                <c:pt idx="25">
                  <c:v>30</c:v>
                </c:pt>
                <c:pt idx="26">
                  <c:v>20</c:v>
                </c:pt>
                <c:pt idx="28">
                  <c:v>13</c:v>
                </c:pt>
                <c:pt idx="30">
                  <c:v>27</c:v>
                </c:pt>
                <c:pt idx="33">
                  <c:v>30</c:v>
                </c:pt>
                <c:pt idx="35">
                  <c:v>20</c:v>
                </c:pt>
                <c:pt idx="37">
                  <c:v>35</c:v>
                </c:pt>
                <c:pt idx="40">
                  <c:v>140</c:v>
                </c:pt>
                <c:pt idx="41">
                  <c:v>60</c:v>
                </c:pt>
                <c:pt idx="42">
                  <c:v>12</c:v>
                </c:pt>
                <c:pt idx="44">
                  <c:v>12</c:v>
                </c:pt>
                <c:pt idx="45">
                  <c:v>56</c:v>
                </c:pt>
                <c:pt idx="47">
                  <c:v>36</c:v>
                </c:pt>
                <c:pt idx="50">
                  <c:v>43</c:v>
                </c:pt>
                <c:pt idx="52">
                  <c:v>50</c:v>
                </c:pt>
                <c:pt idx="53">
                  <c:v>18</c:v>
                </c:pt>
                <c:pt idx="54">
                  <c:v>46</c:v>
                </c:pt>
                <c:pt idx="56">
                  <c:v>4</c:v>
                </c:pt>
                <c:pt idx="57">
                  <c:v>9</c:v>
                </c:pt>
                <c:pt idx="59">
                  <c:v>5</c:v>
                </c:pt>
                <c:pt idx="63">
                  <c:v>80</c:v>
                </c:pt>
                <c:pt idx="64">
                  <c:v>39</c:v>
                </c:pt>
                <c:pt idx="66">
                  <c:v>114</c:v>
                </c:pt>
                <c:pt idx="67">
                  <c:v>25</c:v>
                </c:pt>
                <c:pt idx="69">
                  <c:v>15</c:v>
                </c:pt>
                <c:pt idx="71">
                  <c:v>85</c:v>
                </c:pt>
                <c:pt idx="73">
                  <c:v>20</c:v>
                </c:pt>
                <c:pt idx="74">
                  <c:v>20</c:v>
                </c:pt>
                <c:pt idx="75">
                  <c:v>99</c:v>
                </c:pt>
                <c:pt idx="77">
                  <c:v>65</c:v>
                </c:pt>
                <c:pt idx="78">
                  <c:v>45</c:v>
                </c:pt>
                <c:pt idx="79">
                  <c:v>58</c:v>
                </c:pt>
                <c:pt idx="80">
                  <c:v>15</c:v>
                </c:pt>
                <c:pt idx="82">
                  <c:v>25</c:v>
                </c:pt>
                <c:pt idx="86">
                  <c:v>107</c:v>
                </c:pt>
                <c:pt idx="90">
                  <c:v>97</c:v>
                </c:pt>
                <c:pt idx="91">
                  <c:v>11</c:v>
                </c:pt>
                <c:pt idx="92">
                  <c:v>30</c:v>
                </c:pt>
                <c:pt idx="95">
                  <c:v>118</c:v>
                </c:pt>
                <c:pt idx="96">
                  <c:v>16</c:v>
                </c:pt>
                <c:pt idx="97">
                  <c:v>32</c:v>
                </c:pt>
                <c:pt idx="100">
                  <c:v>26</c:v>
                </c:pt>
                <c:pt idx="102">
                  <c:v>59</c:v>
                </c:pt>
                <c:pt idx="103">
                  <c:v>10</c:v>
                </c:pt>
                <c:pt idx="104">
                  <c:v>50</c:v>
                </c:pt>
                <c:pt idx="106">
                  <c:v>5</c:v>
                </c:pt>
                <c:pt idx="107">
                  <c:v>50</c:v>
                </c:pt>
                <c:pt idx="109">
                  <c:v>30</c:v>
                </c:pt>
                <c:pt idx="110">
                  <c:v>10</c:v>
                </c:pt>
                <c:pt idx="113">
                  <c:v>42</c:v>
                </c:pt>
                <c:pt idx="114">
                  <c:v>60</c:v>
                </c:pt>
                <c:pt idx="117">
                  <c:v>2</c:v>
                </c:pt>
                <c:pt idx="118">
                  <c:v>40</c:v>
                </c:pt>
                <c:pt idx="119">
                  <c:v>18</c:v>
                </c:pt>
                <c:pt idx="120">
                  <c:v>18</c:v>
                </c:pt>
                <c:pt idx="122">
                  <c:v>5</c:v>
                </c:pt>
                <c:pt idx="124">
                  <c:v>84</c:v>
                </c:pt>
                <c:pt idx="125">
                  <c:v>15</c:v>
                </c:pt>
                <c:pt idx="126">
                  <c:v>25</c:v>
                </c:pt>
                <c:pt idx="127">
                  <c:v>93</c:v>
                </c:pt>
                <c:pt idx="128">
                  <c:v>14</c:v>
                </c:pt>
                <c:pt idx="129">
                  <c:v>20</c:v>
                </c:pt>
                <c:pt idx="130">
                  <c:v>30</c:v>
                </c:pt>
                <c:pt idx="132">
                  <c:v>6</c:v>
                </c:pt>
                <c:pt idx="133">
                  <c:v>28</c:v>
                </c:pt>
                <c:pt idx="135">
                  <c:v>70</c:v>
                </c:pt>
                <c:pt idx="136">
                  <c:v>20</c:v>
                </c:pt>
                <c:pt idx="137">
                  <c:v>28</c:v>
                </c:pt>
                <c:pt idx="138">
                  <c:v>35</c:v>
                </c:pt>
                <c:pt idx="139">
                  <c:v>39</c:v>
                </c:pt>
                <c:pt idx="142">
                  <c:v>21</c:v>
                </c:pt>
                <c:pt idx="144">
                  <c:v>44</c:v>
                </c:pt>
                <c:pt idx="146">
                  <c:v>60</c:v>
                </c:pt>
                <c:pt idx="147">
                  <c:v>9</c:v>
                </c:pt>
                <c:pt idx="148">
                  <c:v>24</c:v>
                </c:pt>
                <c:pt idx="1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936-4796-BF6D-09556CE2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solutions.xlsx]q11!PivotTable13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'q11'!$N$5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'q11'!$M$6:$M$83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'q11'!$N$6:$N$83</c:f>
              <c:numCache>
                <c:formatCode>General</c:formatCode>
                <c:ptCount val="77"/>
                <c:pt idx="0">
                  <c:v>35482.199999999997</c:v>
                </c:pt>
                <c:pt idx="1">
                  <c:v>3080</c:v>
                </c:pt>
                <c:pt idx="2">
                  <c:v>19048.3</c:v>
                </c:pt>
                <c:pt idx="3">
                  <c:v>149984.20000000001</c:v>
                </c:pt>
                <c:pt idx="4">
                  <c:v>50286</c:v>
                </c:pt>
                <c:pt idx="5">
                  <c:v>31987.5</c:v>
                </c:pt>
                <c:pt idx="6">
                  <c:v>14277.6</c:v>
                </c:pt>
                <c:pt idx="7">
                  <c:v>18559.2</c:v>
                </c:pt>
                <c:pt idx="8">
                  <c:v>13150.8</c:v>
                </c:pt>
                <c:pt idx="9">
                  <c:v>9424.7999999999993</c:v>
                </c:pt>
                <c:pt idx="10">
                  <c:v>5801.15</c:v>
                </c:pt>
                <c:pt idx="11">
                  <c:v>1542.75</c:v>
                </c:pt>
                <c:pt idx="12">
                  <c:v>6664.75</c:v>
                </c:pt>
                <c:pt idx="13">
                  <c:v>3383.8</c:v>
                </c:pt>
                <c:pt idx="14">
                  <c:v>20876.5</c:v>
                </c:pt>
                <c:pt idx="15">
                  <c:v>1713.5</c:v>
                </c:pt>
                <c:pt idx="16">
                  <c:v>1813.5</c:v>
                </c:pt>
                <c:pt idx="17">
                  <c:v>45121.2</c:v>
                </c:pt>
                <c:pt idx="18">
                  <c:v>16172.5</c:v>
                </c:pt>
                <c:pt idx="19">
                  <c:v>7345</c:v>
                </c:pt>
                <c:pt idx="20">
                  <c:v>3047.2</c:v>
                </c:pt>
                <c:pt idx="21">
                  <c:v>4782.6000000000004</c:v>
                </c:pt>
                <c:pt idx="22">
                  <c:v>24307.200000000001</c:v>
                </c:pt>
                <c:pt idx="23">
                  <c:v>10524.2</c:v>
                </c:pt>
                <c:pt idx="24">
                  <c:v>21534.9</c:v>
                </c:pt>
                <c:pt idx="25">
                  <c:v>7232.4</c:v>
                </c:pt>
                <c:pt idx="26">
                  <c:v>22140.2</c:v>
                </c:pt>
                <c:pt idx="27">
                  <c:v>14542.6</c:v>
                </c:pt>
                <c:pt idx="28">
                  <c:v>25079.200000000001</c:v>
                </c:pt>
                <c:pt idx="29">
                  <c:v>9098.1</c:v>
                </c:pt>
                <c:pt idx="30">
                  <c:v>5234.3999999999996</c:v>
                </c:pt>
                <c:pt idx="31">
                  <c:v>16794</c:v>
                </c:pt>
                <c:pt idx="32">
                  <c:v>2562</c:v>
                </c:pt>
                <c:pt idx="33">
                  <c:v>2566</c:v>
                </c:pt>
                <c:pt idx="34">
                  <c:v>14607</c:v>
                </c:pt>
                <c:pt idx="35">
                  <c:v>3519</c:v>
                </c:pt>
                <c:pt idx="36">
                  <c:v>44742.6</c:v>
                </c:pt>
                <c:pt idx="37">
                  <c:v>9171.2000000000007</c:v>
                </c:pt>
                <c:pt idx="38">
                  <c:v>9500</c:v>
                </c:pt>
                <c:pt idx="39">
                  <c:v>8827</c:v>
                </c:pt>
                <c:pt idx="40">
                  <c:v>25738.799999999999</c:v>
                </c:pt>
                <c:pt idx="41">
                  <c:v>14775.54</c:v>
                </c:pt>
                <c:pt idx="42">
                  <c:v>13760</c:v>
                </c:pt>
                <c:pt idx="43">
                  <c:v>4051.6</c:v>
                </c:pt>
                <c:pt idx="44">
                  <c:v>9685</c:v>
                </c:pt>
                <c:pt idx="45">
                  <c:v>11472</c:v>
                </c:pt>
                <c:pt idx="46">
                  <c:v>19512</c:v>
                </c:pt>
                <c:pt idx="47">
                  <c:v>18748.05</c:v>
                </c:pt>
                <c:pt idx="48">
                  <c:v>21510.2</c:v>
                </c:pt>
                <c:pt idx="49">
                  <c:v>13902</c:v>
                </c:pt>
                <c:pt idx="50">
                  <c:v>12866.8</c:v>
                </c:pt>
                <c:pt idx="51">
                  <c:v>4740.5</c:v>
                </c:pt>
                <c:pt idx="52">
                  <c:v>4200</c:v>
                </c:pt>
                <c:pt idx="53">
                  <c:v>26865.599999999999</c:v>
                </c:pt>
                <c:pt idx="54">
                  <c:v>76296</c:v>
                </c:pt>
                <c:pt idx="55">
                  <c:v>7807.8</c:v>
                </c:pt>
                <c:pt idx="56">
                  <c:v>8650.5499999999993</c:v>
                </c:pt>
                <c:pt idx="57">
                  <c:v>6678</c:v>
                </c:pt>
                <c:pt idx="58">
                  <c:v>15231.5</c:v>
                </c:pt>
                <c:pt idx="59">
                  <c:v>9362.5</c:v>
                </c:pt>
                <c:pt idx="60">
                  <c:v>9332.4</c:v>
                </c:pt>
                <c:pt idx="61">
                  <c:v>23635.8</c:v>
                </c:pt>
                <c:pt idx="62">
                  <c:v>9636</c:v>
                </c:pt>
                <c:pt idx="63">
                  <c:v>16438.8</c:v>
                </c:pt>
                <c:pt idx="64">
                  <c:v>6144</c:v>
                </c:pt>
                <c:pt idx="65">
                  <c:v>14536.8</c:v>
                </c:pt>
                <c:pt idx="66">
                  <c:v>49827.9</c:v>
                </c:pt>
                <c:pt idx="67">
                  <c:v>6159.5</c:v>
                </c:pt>
                <c:pt idx="68">
                  <c:v>87736.4</c:v>
                </c:pt>
                <c:pt idx="69">
                  <c:v>8630.4</c:v>
                </c:pt>
                <c:pt idx="70">
                  <c:v>5121</c:v>
                </c:pt>
                <c:pt idx="71">
                  <c:v>4840.2</c:v>
                </c:pt>
                <c:pt idx="72">
                  <c:v>22464</c:v>
                </c:pt>
                <c:pt idx="73">
                  <c:v>3510</c:v>
                </c:pt>
                <c:pt idx="74">
                  <c:v>17696.3</c:v>
                </c:pt>
                <c:pt idx="75">
                  <c:v>23009</c:v>
                </c:pt>
                <c:pt idx="76">
                  <c:v>4358.6000000000004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61-4643-A617-182042703E7B}"/>
            </c:ext>
          </c:extLst>
        </c:ser>
        <c:ser>
          <c:idx val="1"/>
          <c:order val="1"/>
          <c:tx>
            <c:strRef>
              <c:f>'q11'!$O$5</c:f>
              <c:strCache>
                <c:ptCount val="1"/>
                <c:pt idx="0">
                  <c:v>Sum of avg_revenue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'q11'!$M$6:$M$83</c:f>
              <c:strCache>
                <c:ptCount val="77"/>
                <c:pt idx="0">
                  <c:v>Alice Mutton</c:v>
                </c:pt>
                <c:pt idx="1">
                  <c:v>Aniseed Syrup</c:v>
                </c:pt>
                <c:pt idx="2">
                  <c:v>Boston Crab Meat</c:v>
                </c:pt>
                <c:pt idx="3">
                  <c:v>CÃ´te de Blaye</c:v>
                </c:pt>
                <c:pt idx="4">
                  <c:v>Camembert Pierrot</c:v>
                </c:pt>
                <c:pt idx="5">
                  <c:v>Carnarvon Tigers</c:v>
                </c:pt>
                <c:pt idx="6">
                  <c:v>Chai</c:v>
                </c:pt>
                <c:pt idx="7">
                  <c:v>Chang</c:v>
                </c:pt>
                <c:pt idx="8">
                  <c:v>Chartreuse verte</c:v>
                </c:pt>
                <c:pt idx="9">
                  <c:v>Chef Anton's Cajun Seasoning</c:v>
                </c:pt>
                <c:pt idx="10">
                  <c:v>Chef Anton's Gumbo Mix</c:v>
                </c:pt>
                <c:pt idx="11">
                  <c:v>Chocolade</c:v>
                </c:pt>
                <c:pt idx="12">
                  <c:v>Escargots de Bourgogne</c:v>
                </c:pt>
                <c:pt idx="13">
                  <c:v>Filo Mix</c:v>
                </c:pt>
                <c:pt idx="14">
                  <c:v>FlÃ¸temysost</c:v>
                </c:pt>
                <c:pt idx="15">
                  <c:v>Geitost</c:v>
                </c:pt>
                <c:pt idx="16">
                  <c:v>Genen Shouyu</c:v>
                </c:pt>
                <c:pt idx="17">
                  <c:v>Gnocchi di nonna Alice</c:v>
                </c:pt>
                <c:pt idx="18">
                  <c:v>Gorgonzola Telino</c:v>
                </c:pt>
                <c:pt idx="19">
                  <c:v>Grandma's Boysenberry Spread</c:v>
                </c:pt>
                <c:pt idx="20">
                  <c:v>Gravad lax</c:v>
                </c:pt>
                <c:pt idx="21">
                  <c:v>GuaranÃ¡ FantÃ¡stica</c:v>
                </c:pt>
                <c:pt idx="22">
                  <c:v>Gudbrandsdalsost</c:v>
                </c:pt>
                <c:pt idx="23">
                  <c:v>Gula Malacca</c:v>
                </c:pt>
                <c:pt idx="24">
                  <c:v>GumbÃ¤r GummibÃ¤rchen</c:v>
                </c:pt>
                <c:pt idx="25">
                  <c:v>Gustaf's KnÃ¤ckebrÃ¶d</c:v>
                </c:pt>
                <c:pt idx="26">
                  <c:v>Ikura</c:v>
                </c:pt>
                <c:pt idx="27">
                  <c:v>Inlagd Sill</c:v>
                </c:pt>
                <c:pt idx="28">
                  <c:v>Ipoh Coffee</c:v>
                </c:pt>
                <c:pt idx="29">
                  <c:v>Jack's New England Clam Chowder</c:v>
                </c:pt>
                <c:pt idx="30">
                  <c:v>Konbu</c:v>
                </c:pt>
                <c:pt idx="31">
                  <c:v>LakkalikÃ¶Ã¶ri</c:v>
                </c:pt>
                <c:pt idx="32">
                  <c:v>Laughing Lumberjack Lager</c:v>
                </c:pt>
                <c:pt idx="33">
                  <c:v>Longlife Tofu</c:v>
                </c:pt>
                <c:pt idx="34">
                  <c:v>Louisiana Fiery Hot Pepper Sauce</c:v>
                </c:pt>
                <c:pt idx="35">
                  <c:v>Louisiana Hot Spiced Okra</c:v>
                </c:pt>
                <c:pt idx="36">
                  <c:v>Manjimup Dried Apples</c:v>
                </c:pt>
                <c:pt idx="37">
                  <c:v>Mascarpone Fabioli</c:v>
                </c:pt>
                <c:pt idx="38">
                  <c:v>Maxilaku</c:v>
                </c:pt>
                <c:pt idx="39">
                  <c:v>Mishi Kobe Niku</c:v>
                </c:pt>
                <c:pt idx="40">
                  <c:v>Mozzarella di Giovanni</c:v>
                </c:pt>
                <c:pt idx="41">
                  <c:v>Nord-Ost Matjeshering</c:v>
                </c:pt>
                <c:pt idx="42">
                  <c:v>Northwoods Cranberry Sauce</c:v>
                </c:pt>
                <c:pt idx="43">
                  <c:v>NuNuCa NuÃŸ-Nougat-Creme</c:v>
                </c:pt>
                <c:pt idx="44">
                  <c:v>Original Frankfurter grÃ¼ne SoÃŸe</c:v>
                </c:pt>
                <c:pt idx="45">
                  <c:v>Outback Lager</c:v>
                </c:pt>
                <c:pt idx="46">
                  <c:v>PÃ¢tÃ© chinois</c:v>
                </c:pt>
                <c:pt idx="47">
                  <c:v>Pavlova</c:v>
                </c:pt>
                <c:pt idx="48">
                  <c:v>Perth Pasties</c:v>
                </c:pt>
                <c:pt idx="49">
                  <c:v>Queso Cabrales</c:v>
                </c:pt>
                <c:pt idx="50">
                  <c:v>Queso Manchego La Pastora</c:v>
                </c:pt>
                <c:pt idx="51">
                  <c:v>RÃ¸gede sild</c:v>
                </c:pt>
                <c:pt idx="52">
                  <c:v>RÃ¶d Kaviar</c:v>
                </c:pt>
                <c:pt idx="53">
                  <c:v>RÃ¶ssle Sauerkraut</c:v>
                </c:pt>
                <c:pt idx="54">
                  <c:v>Raclette Courdavault</c:v>
                </c:pt>
                <c:pt idx="55">
                  <c:v>Ravioli Angelo</c:v>
                </c:pt>
                <c:pt idx="56">
                  <c:v>RhÃ¶nbrÃ¤u Klosterbier</c:v>
                </c:pt>
                <c:pt idx="57">
                  <c:v>Sasquatch Ale</c:v>
                </c:pt>
                <c:pt idx="58">
                  <c:v>Schoggi Schokolade</c:v>
                </c:pt>
                <c:pt idx="59">
                  <c:v>Scottish Longbreads</c:v>
                </c:pt>
                <c:pt idx="60">
                  <c:v>Singaporean Hokkien Fried Mee</c:v>
                </c:pt>
                <c:pt idx="61">
                  <c:v>Sir Rodney's Marmalade</c:v>
                </c:pt>
                <c:pt idx="62">
                  <c:v>Sir Rodney's Scones</c:v>
                </c:pt>
                <c:pt idx="63">
                  <c:v>Sirop d'Ã©rable</c:v>
                </c:pt>
                <c:pt idx="64">
                  <c:v>Spegesild</c:v>
                </c:pt>
                <c:pt idx="65">
                  <c:v>Steeleye Stout</c:v>
                </c:pt>
                <c:pt idx="66">
                  <c:v>Tarte au sucre</c:v>
                </c:pt>
                <c:pt idx="67">
                  <c:v>Teatime Chocolate Biscuits</c:v>
                </c:pt>
                <c:pt idx="68">
                  <c:v>ThÃ¼ringer Rostbratwurst</c:v>
                </c:pt>
                <c:pt idx="69">
                  <c:v>Tofu</c:v>
                </c:pt>
                <c:pt idx="70">
                  <c:v>TourtiÃ¨re</c:v>
                </c:pt>
                <c:pt idx="71">
                  <c:v>TunnbrÃ¶d</c:v>
                </c:pt>
                <c:pt idx="72">
                  <c:v>Uncle Bob's Organic Dried Pears</c:v>
                </c:pt>
                <c:pt idx="73">
                  <c:v>Valkoinen suklaa</c:v>
                </c:pt>
                <c:pt idx="74">
                  <c:v>Vegie-spread</c:v>
                </c:pt>
                <c:pt idx="75">
                  <c:v>Wimmers gute SemmelknÃ¶del</c:v>
                </c:pt>
                <c:pt idx="76">
                  <c:v>Zaanse koeken</c:v>
                </c:pt>
              </c:strCache>
            </c:strRef>
          </c:cat>
          <c:val>
            <c:numRef>
              <c:f>'q11'!$O$6:$O$83</c:f>
              <c:numCache>
                <c:formatCode>General</c:formatCode>
                <c:ptCount val="77"/>
                <c:pt idx="0">
                  <c:v>17590.37</c:v>
                </c:pt>
                <c:pt idx="1">
                  <c:v>17590.37</c:v>
                </c:pt>
                <c:pt idx="2">
                  <c:v>17590.37</c:v>
                </c:pt>
                <c:pt idx="3">
                  <c:v>17590.37</c:v>
                </c:pt>
                <c:pt idx="4">
                  <c:v>17590.37</c:v>
                </c:pt>
                <c:pt idx="5">
                  <c:v>17590.37</c:v>
                </c:pt>
                <c:pt idx="6">
                  <c:v>17590.37</c:v>
                </c:pt>
                <c:pt idx="7">
                  <c:v>17590.37</c:v>
                </c:pt>
                <c:pt idx="8">
                  <c:v>17590.37</c:v>
                </c:pt>
                <c:pt idx="9">
                  <c:v>17590.37</c:v>
                </c:pt>
                <c:pt idx="10">
                  <c:v>17590.37</c:v>
                </c:pt>
                <c:pt idx="11">
                  <c:v>17590.37</c:v>
                </c:pt>
                <c:pt idx="12">
                  <c:v>17590.37</c:v>
                </c:pt>
                <c:pt idx="13">
                  <c:v>17590.37</c:v>
                </c:pt>
                <c:pt idx="14">
                  <c:v>17590.37</c:v>
                </c:pt>
                <c:pt idx="15">
                  <c:v>17590.37</c:v>
                </c:pt>
                <c:pt idx="16">
                  <c:v>17590.37</c:v>
                </c:pt>
                <c:pt idx="17">
                  <c:v>17590.37</c:v>
                </c:pt>
                <c:pt idx="18">
                  <c:v>17590.37</c:v>
                </c:pt>
                <c:pt idx="19">
                  <c:v>17590.37</c:v>
                </c:pt>
                <c:pt idx="20">
                  <c:v>17590.37</c:v>
                </c:pt>
                <c:pt idx="21">
                  <c:v>17590.37</c:v>
                </c:pt>
                <c:pt idx="22">
                  <c:v>17590.37</c:v>
                </c:pt>
                <c:pt idx="23">
                  <c:v>17590.37</c:v>
                </c:pt>
                <c:pt idx="24">
                  <c:v>17590.37</c:v>
                </c:pt>
                <c:pt idx="25">
                  <c:v>17590.37</c:v>
                </c:pt>
                <c:pt idx="26">
                  <c:v>17590.37</c:v>
                </c:pt>
                <c:pt idx="27">
                  <c:v>17590.37</c:v>
                </c:pt>
                <c:pt idx="28">
                  <c:v>17590.37</c:v>
                </c:pt>
                <c:pt idx="29">
                  <c:v>17590.37</c:v>
                </c:pt>
                <c:pt idx="30">
                  <c:v>17590.37</c:v>
                </c:pt>
                <c:pt idx="31">
                  <c:v>17590.37</c:v>
                </c:pt>
                <c:pt idx="32">
                  <c:v>17590.37</c:v>
                </c:pt>
                <c:pt idx="33">
                  <c:v>17590.37</c:v>
                </c:pt>
                <c:pt idx="34">
                  <c:v>17590.37</c:v>
                </c:pt>
                <c:pt idx="35">
                  <c:v>17590.37</c:v>
                </c:pt>
                <c:pt idx="36">
                  <c:v>17590.37</c:v>
                </c:pt>
                <c:pt idx="37">
                  <c:v>17590.37</c:v>
                </c:pt>
                <c:pt idx="38">
                  <c:v>17590.37</c:v>
                </c:pt>
                <c:pt idx="39">
                  <c:v>17590.37</c:v>
                </c:pt>
                <c:pt idx="40">
                  <c:v>17590.37</c:v>
                </c:pt>
                <c:pt idx="41">
                  <c:v>17590.37</c:v>
                </c:pt>
                <c:pt idx="42">
                  <c:v>17590.37</c:v>
                </c:pt>
                <c:pt idx="43">
                  <c:v>17590.37</c:v>
                </c:pt>
                <c:pt idx="44">
                  <c:v>17590.37</c:v>
                </c:pt>
                <c:pt idx="45">
                  <c:v>17590.37</c:v>
                </c:pt>
                <c:pt idx="46">
                  <c:v>17590.37</c:v>
                </c:pt>
                <c:pt idx="47">
                  <c:v>17590.37</c:v>
                </c:pt>
                <c:pt idx="48">
                  <c:v>17590.37</c:v>
                </c:pt>
                <c:pt idx="49">
                  <c:v>17590.37</c:v>
                </c:pt>
                <c:pt idx="50">
                  <c:v>17590.37</c:v>
                </c:pt>
                <c:pt idx="51">
                  <c:v>17590.37</c:v>
                </c:pt>
                <c:pt idx="52">
                  <c:v>17590.37</c:v>
                </c:pt>
                <c:pt idx="53">
                  <c:v>17590.37</c:v>
                </c:pt>
                <c:pt idx="54">
                  <c:v>17590.37</c:v>
                </c:pt>
                <c:pt idx="55">
                  <c:v>17590.37</c:v>
                </c:pt>
                <c:pt idx="56">
                  <c:v>17590.37</c:v>
                </c:pt>
                <c:pt idx="57">
                  <c:v>17590.37</c:v>
                </c:pt>
                <c:pt idx="58">
                  <c:v>17590.37</c:v>
                </c:pt>
                <c:pt idx="59">
                  <c:v>17590.37</c:v>
                </c:pt>
                <c:pt idx="60">
                  <c:v>17590.37</c:v>
                </c:pt>
                <c:pt idx="61">
                  <c:v>17590.37</c:v>
                </c:pt>
                <c:pt idx="62">
                  <c:v>17590.37</c:v>
                </c:pt>
                <c:pt idx="63">
                  <c:v>17590.37</c:v>
                </c:pt>
                <c:pt idx="64">
                  <c:v>17590.37</c:v>
                </c:pt>
                <c:pt idx="65">
                  <c:v>17590.37</c:v>
                </c:pt>
                <c:pt idx="66">
                  <c:v>17590.37</c:v>
                </c:pt>
                <c:pt idx="67">
                  <c:v>17590.37</c:v>
                </c:pt>
                <c:pt idx="68">
                  <c:v>17590.37</c:v>
                </c:pt>
                <c:pt idx="69">
                  <c:v>17590.37</c:v>
                </c:pt>
                <c:pt idx="70">
                  <c:v>17590.37</c:v>
                </c:pt>
                <c:pt idx="71">
                  <c:v>17590.37</c:v>
                </c:pt>
                <c:pt idx="72">
                  <c:v>17590.37</c:v>
                </c:pt>
                <c:pt idx="73">
                  <c:v>17590.37</c:v>
                </c:pt>
                <c:pt idx="74">
                  <c:v>17590.37</c:v>
                </c:pt>
                <c:pt idx="75">
                  <c:v>17590.37</c:v>
                </c:pt>
                <c:pt idx="76">
                  <c:v>17590.37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61-4643-A617-182042703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909824"/>
        <c:axId val="589917504"/>
      </c:lineChart>
      <c:catAx>
        <c:axId val="58990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504"/>
        <c:crosses val="autoZero"/>
        <c:auto val="1"/>
        <c:lblAlgn val="ctr"/>
        <c:lblOffset val="100"/>
        <c:noMultiLvlLbl val="0"/>
      </c:catAx>
      <c:valAx>
        <c:axId val="5899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0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solutions.xlsx]q12!PivotTable14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'q12'!$N$1</c:f>
              <c:strCache>
                <c:ptCount val="1"/>
                <c:pt idx="0">
                  <c:v>Sum of total_suppliers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'q12'!$M$2:$M$18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'q12'!$N$2:$N$18</c:f>
              <c:numCache>
                <c:formatCode>General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3-4313-AF98-F7A07D50A57A}"/>
            </c:ext>
          </c:extLst>
        </c:ser>
        <c:ser>
          <c:idx val="1"/>
          <c:order val="1"/>
          <c:tx>
            <c:strRef>
              <c:f>'q12'!$O$1</c:f>
              <c:strCache>
                <c:ptCount val="1"/>
                <c:pt idx="0">
                  <c:v>Sum of avg_price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'q12'!$M$2:$M$18</c:f>
              <c:strCache>
                <c:ptCount val="16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UK</c:v>
                </c:pt>
                <c:pt idx="15">
                  <c:v>USA</c:v>
                </c:pt>
              </c:strCache>
            </c:strRef>
          </c:cat>
          <c:val>
            <c:numRef>
              <c:f>'q12'!$O$2:$O$18</c:f>
              <c:numCache>
                <c:formatCode>General</c:formatCode>
                <c:ptCount val="16"/>
                <c:pt idx="0">
                  <c:v>33.83</c:v>
                </c:pt>
                <c:pt idx="1">
                  <c:v>4.5</c:v>
                </c:pt>
                <c:pt idx="2">
                  <c:v>27.31</c:v>
                </c:pt>
                <c:pt idx="3">
                  <c:v>10.75</c:v>
                </c:pt>
                <c:pt idx="4">
                  <c:v>18.079999999999998</c:v>
                </c:pt>
                <c:pt idx="5">
                  <c:v>76.75</c:v>
                </c:pt>
                <c:pt idx="6">
                  <c:v>37.6</c:v>
                </c:pt>
                <c:pt idx="7">
                  <c:v>27.36</c:v>
                </c:pt>
                <c:pt idx="8">
                  <c:v>30.46</c:v>
                </c:pt>
                <c:pt idx="9">
                  <c:v>11.12</c:v>
                </c:pt>
                <c:pt idx="10">
                  <c:v>20</c:v>
                </c:pt>
                <c:pt idx="11">
                  <c:v>26.48</c:v>
                </c:pt>
                <c:pt idx="12">
                  <c:v>29.5</c:v>
                </c:pt>
                <c:pt idx="13">
                  <c:v>35</c:v>
                </c:pt>
                <c:pt idx="14">
                  <c:v>22.81</c:v>
                </c:pt>
                <c:pt idx="15">
                  <c:v>20.87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3-4313-AF98-F7A07D50A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927584"/>
        <c:axId val="589929504"/>
      </c:barChart>
      <c:catAx>
        <c:axId val="58992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29504"/>
        <c:crosses val="autoZero"/>
        <c:auto val="1"/>
        <c:lblAlgn val="ctr"/>
        <c:lblOffset val="100"/>
        <c:noMultiLvlLbl val="0"/>
      </c:catAx>
      <c:valAx>
        <c:axId val="58992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solutions.xlsx]q13!PivotTable15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'q13'!$N$1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'q13'!$M$2:$M$10</c:f>
              <c:strCache>
                <c:ptCount val="8"/>
                <c:pt idx="0">
                  <c:v>Beverages</c:v>
                </c:pt>
                <c:pt idx="1">
                  <c:v>Condiments</c:v>
                </c:pt>
                <c:pt idx="2">
                  <c:v>Confections</c:v>
                </c:pt>
                <c:pt idx="3">
                  <c:v>Dairy Products</c:v>
                </c:pt>
                <c:pt idx="4">
                  <c:v>Grains/Cereals</c:v>
                </c:pt>
                <c:pt idx="5">
                  <c:v>Meat/Poultry</c:v>
                </c:pt>
                <c:pt idx="6">
                  <c:v>Produce</c:v>
                </c:pt>
                <c:pt idx="7">
                  <c:v>Seafood</c:v>
                </c:pt>
              </c:strCache>
            </c:strRef>
          </c:cat>
          <c:val>
            <c:numRef>
              <c:f>'q13'!$N$2:$N$10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A-454F-932A-29919D9A2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939104"/>
        <c:axId val="589938144"/>
      </c:barChart>
      <c:catAx>
        <c:axId val="5899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38144"/>
        <c:crosses val="autoZero"/>
        <c:auto val="1"/>
        <c:lblAlgn val="ctr"/>
        <c:lblOffset val="100"/>
        <c:noMultiLvlLbl val="0"/>
      </c:catAx>
      <c:valAx>
        <c:axId val="58993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solutions.xlsx]q14!PivotTable16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'q14'!$N$4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'q14'!$M$5:$M$66</c:f>
              <c:multiLvlStrCache>
                <c:ptCount val="45"/>
                <c:lvl>
                  <c:pt idx="0">
                    <c:v>Beverages</c:v>
                  </c:pt>
                  <c:pt idx="1">
                    <c:v>Condiments</c:v>
                  </c:pt>
                  <c:pt idx="2">
                    <c:v>Confections</c:v>
                  </c:pt>
                  <c:pt idx="3">
                    <c:v>Grains/Cereals</c:v>
                  </c:pt>
                  <c:pt idx="4">
                    <c:v>Meat/Poultry</c:v>
                  </c:pt>
                  <c:pt idx="5">
                    <c:v>Produce</c:v>
                  </c:pt>
                  <c:pt idx="6">
                    <c:v>Seafood</c:v>
                  </c:pt>
                  <c:pt idx="7">
                    <c:v>Beverages</c:v>
                  </c:pt>
                  <c:pt idx="8">
                    <c:v>Condiments</c:v>
                  </c:pt>
                  <c:pt idx="9">
                    <c:v>Confections</c:v>
                  </c:pt>
                  <c:pt idx="10">
                    <c:v>Meat/Poultry</c:v>
                  </c:pt>
                  <c:pt idx="11">
                    <c:v>Seafood</c:v>
                  </c:pt>
                  <c:pt idx="12">
                    <c:v>Beverages</c:v>
                  </c:pt>
                  <c:pt idx="13">
                    <c:v>Confections</c:v>
                  </c:pt>
                  <c:pt idx="14">
                    <c:v>Beverages</c:v>
                  </c:pt>
                  <c:pt idx="15">
                    <c:v>Dairy Products</c:v>
                  </c:pt>
                  <c:pt idx="16">
                    <c:v>Seafood</c:v>
                  </c:pt>
                  <c:pt idx="17">
                    <c:v>Beverages</c:v>
                  </c:pt>
                  <c:pt idx="18">
                    <c:v>Condiments</c:v>
                  </c:pt>
                  <c:pt idx="19">
                    <c:v>Confections</c:v>
                  </c:pt>
                  <c:pt idx="20">
                    <c:v>Grains/Cereals</c:v>
                  </c:pt>
                  <c:pt idx="21">
                    <c:v>Meat/Poultry</c:v>
                  </c:pt>
                  <c:pt idx="22">
                    <c:v>Produce</c:v>
                  </c:pt>
                  <c:pt idx="23">
                    <c:v>Seafood</c:v>
                  </c:pt>
                  <c:pt idx="24">
                    <c:v>Dairy Products</c:v>
                  </c:pt>
                  <c:pt idx="25">
                    <c:v>Grains/Cereals</c:v>
                  </c:pt>
                  <c:pt idx="26">
                    <c:v>Condiments</c:v>
                  </c:pt>
                  <c:pt idx="27">
                    <c:v>Meat/Poultry</c:v>
                  </c:pt>
                  <c:pt idx="28">
                    <c:v>Produce</c:v>
                  </c:pt>
                  <c:pt idx="29">
                    <c:v>Seafood</c:v>
                  </c:pt>
                  <c:pt idx="30">
                    <c:v>Confections</c:v>
                  </c:pt>
                  <c:pt idx="31">
                    <c:v>Dairy Products</c:v>
                  </c:pt>
                  <c:pt idx="32">
                    <c:v>Beverages</c:v>
                  </c:pt>
                  <c:pt idx="33">
                    <c:v>Condiments</c:v>
                  </c:pt>
                  <c:pt idx="34">
                    <c:v>Grains/Cereals</c:v>
                  </c:pt>
                  <c:pt idx="35">
                    <c:v>Dairy Products</c:v>
                  </c:pt>
                  <c:pt idx="36">
                    <c:v>Grains/Cereals</c:v>
                  </c:pt>
                  <c:pt idx="37">
                    <c:v>Seafood</c:v>
                  </c:pt>
                  <c:pt idx="38">
                    <c:v>Beverages</c:v>
                  </c:pt>
                  <c:pt idx="39">
                    <c:v>Condiments</c:v>
                  </c:pt>
                  <c:pt idx="40">
                    <c:v>Confections</c:v>
                  </c:pt>
                  <c:pt idx="41">
                    <c:v>Beverages</c:v>
                  </c:pt>
                  <c:pt idx="42">
                    <c:v>Condiments</c:v>
                  </c:pt>
                  <c:pt idx="43">
                    <c:v>Produce</c:v>
                  </c:pt>
                  <c:pt idx="44">
                    <c:v>Seafood</c:v>
                  </c:pt>
                </c:lvl>
                <c:lvl>
                  <c:pt idx="0">
                    <c:v>Australia</c:v>
                  </c:pt>
                  <c:pt idx="7">
                    <c:v>Brazil</c:v>
                  </c:pt>
                  <c:pt idx="8">
                    <c:v>Canada</c:v>
                  </c:pt>
                  <c:pt idx="11">
                    <c:v>Denmark</c:v>
                  </c:pt>
                  <c:pt idx="12">
                    <c:v>Finland</c:v>
                  </c:pt>
                  <c:pt idx="14">
                    <c:v>France</c:v>
                  </c:pt>
                  <c:pt idx="17">
                    <c:v>Germany</c:v>
                  </c:pt>
                  <c:pt idx="24">
                    <c:v>Italy</c:v>
                  </c:pt>
                  <c:pt idx="26">
                    <c:v>Japan</c:v>
                  </c:pt>
                  <c:pt idx="30">
                    <c:v>Netherlands</c:v>
                  </c:pt>
                  <c:pt idx="31">
                    <c:v>Norway</c:v>
                  </c:pt>
                  <c:pt idx="32">
                    <c:v>Singapore</c:v>
                  </c:pt>
                  <c:pt idx="35">
                    <c:v>Spain</c:v>
                  </c:pt>
                  <c:pt idx="36">
                    <c:v>Sweden</c:v>
                  </c:pt>
                  <c:pt idx="38">
                    <c:v>UK</c:v>
                  </c:pt>
                  <c:pt idx="41">
                    <c:v>USA</c:v>
                  </c:pt>
                </c:lvl>
              </c:multiLvlStrCache>
            </c:multiLvlStrRef>
          </c:cat>
          <c:val>
            <c:numRef>
              <c:f>'q14'!$N$5:$N$66</c:f>
              <c:numCache>
                <c:formatCode>General</c:formatCode>
                <c:ptCount val="45"/>
                <c:pt idx="0">
                  <c:v>15</c:v>
                </c:pt>
                <c:pt idx="1">
                  <c:v>43.9</c:v>
                </c:pt>
                <c:pt idx="2">
                  <c:v>17.45</c:v>
                </c:pt>
                <c:pt idx="3">
                  <c:v>7</c:v>
                </c:pt>
                <c:pt idx="4">
                  <c:v>35.9</c:v>
                </c:pt>
                <c:pt idx="5">
                  <c:v>53</c:v>
                </c:pt>
                <c:pt idx="6">
                  <c:v>62.5</c:v>
                </c:pt>
                <c:pt idx="7">
                  <c:v>4.5</c:v>
                </c:pt>
                <c:pt idx="8">
                  <c:v>28.5</c:v>
                </c:pt>
                <c:pt idx="9">
                  <c:v>49.3</c:v>
                </c:pt>
                <c:pt idx="10">
                  <c:v>15.72</c:v>
                </c:pt>
                <c:pt idx="11">
                  <c:v>10.75</c:v>
                </c:pt>
                <c:pt idx="12">
                  <c:v>18</c:v>
                </c:pt>
                <c:pt idx="13">
                  <c:v>18.12</c:v>
                </c:pt>
                <c:pt idx="14">
                  <c:v>140.75</c:v>
                </c:pt>
                <c:pt idx="15">
                  <c:v>44.5</c:v>
                </c:pt>
                <c:pt idx="16">
                  <c:v>13.25</c:v>
                </c:pt>
                <c:pt idx="17">
                  <c:v>7.75</c:v>
                </c:pt>
                <c:pt idx="18">
                  <c:v>13</c:v>
                </c:pt>
                <c:pt idx="19">
                  <c:v>29.71</c:v>
                </c:pt>
                <c:pt idx="20">
                  <c:v>33.25</c:v>
                </c:pt>
                <c:pt idx="21">
                  <c:v>123.79</c:v>
                </c:pt>
                <c:pt idx="22">
                  <c:v>45.6</c:v>
                </c:pt>
                <c:pt idx="23">
                  <c:v>25.89</c:v>
                </c:pt>
                <c:pt idx="24">
                  <c:v>26.43</c:v>
                </c:pt>
                <c:pt idx="25">
                  <c:v>28.75</c:v>
                </c:pt>
                <c:pt idx="26">
                  <c:v>15.5</c:v>
                </c:pt>
                <c:pt idx="27">
                  <c:v>97</c:v>
                </c:pt>
                <c:pt idx="28">
                  <c:v>16.62</c:v>
                </c:pt>
                <c:pt idx="29">
                  <c:v>18.5</c:v>
                </c:pt>
                <c:pt idx="30">
                  <c:v>11.12</c:v>
                </c:pt>
                <c:pt idx="31">
                  <c:v>20</c:v>
                </c:pt>
                <c:pt idx="32">
                  <c:v>46</c:v>
                </c:pt>
                <c:pt idx="33">
                  <c:v>19.45</c:v>
                </c:pt>
                <c:pt idx="34">
                  <c:v>14</c:v>
                </c:pt>
                <c:pt idx="35">
                  <c:v>29.5</c:v>
                </c:pt>
                <c:pt idx="36">
                  <c:v>15</c:v>
                </c:pt>
                <c:pt idx="37">
                  <c:v>20</c:v>
                </c:pt>
                <c:pt idx="38">
                  <c:v>18.5</c:v>
                </c:pt>
                <c:pt idx="39">
                  <c:v>10</c:v>
                </c:pt>
                <c:pt idx="40">
                  <c:v>28.18</c:v>
                </c:pt>
                <c:pt idx="41">
                  <c:v>15.33</c:v>
                </c:pt>
                <c:pt idx="42">
                  <c:v>24.4</c:v>
                </c:pt>
                <c:pt idx="43">
                  <c:v>30</c:v>
                </c:pt>
                <c:pt idx="44">
                  <c:v>14.02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4-42AF-B8F5-7464A7DC0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23072"/>
        <c:axId val="546423552"/>
      </c:barChart>
      <c:catAx>
        <c:axId val="54642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23552"/>
        <c:crosses val="autoZero"/>
        <c:auto val="1"/>
        <c:lblAlgn val="ctr"/>
        <c:lblOffset val="100"/>
        <c:noMultiLvlLbl val="0"/>
      </c:catAx>
      <c:valAx>
        <c:axId val="54642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50483</xdr:rowOff>
    </xdr:from>
    <xdr:to>
      <xdr:col>17</xdr:col>
      <xdr:colOff>729615</xdr:colOff>
      <xdr:row>1</xdr:row>
      <xdr:rowOff>179070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C4C11B-3200-8511-1BC6-EE96896D022A}"/>
            </a:ext>
          </a:extLst>
        </xdr:cNvPr>
        <xdr:cNvSpPr txBox="1"/>
      </xdr:nvSpPr>
      <xdr:spPr>
        <a:xfrm>
          <a:off x="5534025" y="50483"/>
          <a:ext cx="8016240" cy="30956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What is the average number of orders per customer? Are there high-value repeat customers?</a:t>
          </a:r>
        </a:p>
        <a:p>
          <a:endParaRPr lang="en-IN" sz="1100"/>
        </a:p>
      </xdr:txBody>
    </xdr:sp>
    <xdr:clientData/>
  </xdr:twoCellAnchor>
  <xdr:twoCellAnchor>
    <xdr:from>
      <xdr:col>6</xdr:col>
      <xdr:colOff>341947</xdr:colOff>
      <xdr:row>8</xdr:row>
      <xdr:rowOff>136207</xdr:rowOff>
    </xdr:from>
    <xdr:to>
      <xdr:col>14</xdr:col>
      <xdr:colOff>37147</xdr:colOff>
      <xdr:row>23</xdr:row>
      <xdr:rowOff>162877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DF0201-3E25-BE1B-AB58-B574D7DD6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336231</xdr:colOff>
      <xdr:row>9</xdr:row>
      <xdr:rowOff>94297</xdr:rowOff>
    </xdr:from>
    <xdr:to>
      <xdr:col>2</xdr:col>
      <xdr:colOff>441959</xdr:colOff>
      <xdr:row>28</xdr:row>
      <xdr:rowOff>59055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33364B4-462B-4A66-9EA6-3E75A6399AA8}"/>
            </a:ext>
          </a:extLst>
        </xdr:cNvPr>
        <xdr:cNvSpPr txBox="1"/>
      </xdr:nvSpPr>
      <xdr:spPr>
        <a:xfrm>
          <a:off x="336231" y="1904047"/>
          <a:ext cx="1448753" cy="3403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o.CustomerID,    COUNT(o.orderid) AS total_orders,    ROUND(SUM(od.UnitPrice * od.Quantity * (1 - od.Discount)), 2) AS total_spendFROM orders oJOIN order_details od    ON o.orderid = od.orderidGROUP BY o.CustomerIDHAVING total_orders &gt;= 20    AND total_spend &gt;= 40000ORDER BY o.CustomerID;   </a:t>
          </a:r>
        </a:p>
      </xdr:txBody>
    </xdr:sp>
    <xdr:clientData/>
  </xdr:twoCellAnchor>
  <xdr:oneCellAnchor>
    <xdr:from>
      <xdr:col>10</xdr:col>
      <xdr:colOff>457200</xdr:colOff>
      <xdr:row>19</xdr:row>
      <xdr:rowOff>140970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5C28F4-A39A-F9D6-1D84-E68CFFCF19FB}"/>
            </a:ext>
          </a:extLst>
        </xdr:cNvPr>
        <xdr:cNvSpPr txBox="1"/>
      </xdr:nvSpPr>
      <xdr:spPr>
        <a:xfrm>
          <a:off x="7962900" y="37604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265749</xdr:colOff>
      <xdr:row>0</xdr:row>
      <xdr:rowOff>77152</xdr:rowOff>
    </xdr:from>
    <xdr:to>
      <xdr:col>9</xdr:col>
      <xdr:colOff>1680105</xdr:colOff>
      <xdr:row>1</xdr:row>
      <xdr:rowOff>105834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418820-AD8B-EEC9-3018-F7875BC0EFE8}"/>
            </a:ext>
          </a:extLst>
        </xdr:cNvPr>
        <xdr:cNvSpPr txBox="1"/>
      </xdr:nvSpPr>
      <xdr:spPr>
        <a:xfrm>
          <a:off x="5358978" y="77152"/>
          <a:ext cx="3610398" cy="213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do customer order patterns vary by city or country?</a:t>
          </a:r>
        </a:p>
      </xdr:txBody>
    </xdr:sp>
    <xdr:clientData/>
  </xdr:twoCellAnchor>
  <xdr:oneCellAnchor>
    <xdr:from>
      <xdr:col>12</xdr:col>
      <xdr:colOff>510540</xdr:colOff>
      <xdr:row>19</xdr:row>
      <xdr:rowOff>38100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5A05EB-4BED-ADCE-3237-57E1A37544F4}"/>
            </a:ext>
          </a:extLst>
        </xdr:cNvPr>
        <xdr:cNvSpPr txBox="1"/>
      </xdr:nvSpPr>
      <xdr:spPr>
        <a:xfrm>
          <a:off x="7825740" y="3476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60006</xdr:colOff>
      <xdr:row>3</xdr:row>
      <xdr:rowOff>37147</xdr:rowOff>
    </xdr:from>
    <xdr:to>
      <xdr:col>2</xdr:col>
      <xdr:colOff>571499</xdr:colOff>
      <xdr:row>26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3C6E0F6-903E-1C4C-9596-9AE0A20B3A66}"/>
            </a:ext>
          </a:extLst>
        </xdr:cNvPr>
        <xdr:cNvSpPr txBox="1"/>
      </xdr:nvSpPr>
      <xdr:spPr>
        <a:xfrm>
          <a:off x="60006" y="580072"/>
          <a:ext cx="1730693" cy="42205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c.Country,    c.City,        COUNT(DISTINCT c.CustomerID) AS total_customers,    COUNT(o.OrderID) AS total_orders,        -- Total revenue (rounded)    ROUND(SUM(od.UnitPrice * od.Quantity * (1 - od.Discount)), 2) AS total_revenue,        -- Avg order value (rounded)    ROUND(        SUM(od.UnitPrice * od.Quantity * (1 - od.Discount))         / COUNT(DISTINCT o.OrderID),     2) AS avg_order_value,        -- Orders per customer (rounded)    ROUND(        COUNT(o.OrderID) * 1.0 / COUNT(DISTINCT c.CustomerID),     2) AS avg_orders_per_customerFROM customers cJOIN orders o     ON c.CustomerID = o.CustomerIDJOIN order_details od     ON o.OrderID = od.OrderIDGROUP BY c.Country, c.CityORDER BY total_revenue DESC;</a:t>
          </a:r>
        </a:p>
      </xdr:txBody>
    </xdr:sp>
    <xdr:clientData/>
  </xdr:twoCellAnchor>
  <xdr:oneCellAnchor>
    <xdr:from>
      <xdr:col>13</xdr:col>
      <xdr:colOff>392430</xdr:colOff>
      <xdr:row>18</xdr:row>
      <xdr:rowOff>11430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C1678F-816A-CEF8-A9F2-0E403AA792CC}"/>
            </a:ext>
          </a:extLst>
        </xdr:cNvPr>
        <xdr:cNvSpPr txBox="1"/>
      </xdr:nvSpPr>
      <xdr:spPr>
        <a:xfrm>
          <a:off x="8317230" y="32689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18</xdr:col>
      <xdr:colOff>53340</xdr:colOff>
      <xdr:row>5</xdr:row>
      <xdr:rowOff>360997</xdr:rowOff>
    </xdr:from>
    <xdr:to>
      <xdr:col>30</xdr:col>
      <xdr:colOff>15240</xdr:colOff>
      <xdr:row>12</xdr:row>
      <xdr:rowOff>209550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4AEAC1-EDFD-E45D-4866-D50EF1821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73342</xdr:rowOff>
    </xdr:from>
    <xdr:to>
      <xdr:col>2</xdr:col>
      <xdr:colOff>476250</xdr:colOff>
      <xdr:row>26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A133DC-E2AA-7E67-FB40-0870A24B9D02}"/>
            </a:ext>
          </a:extLst>
        </xdr:cNvPr>
        <xdr:cNvSpPr txBox="1"/>
      </xdr:nvSpPr>
      <xdr:spPr>
        <a:xfrm>
          <a:off x="53340" y="73342"/>
          <a:ext cx="1642110" cy="46701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*FROM (    SELECT         o.CustomerID,        c.CategoryName,        COUNT(*) AS total_count,                ROW_NUMBER() OVER (            PARTITION BY o.CustomerID             ORDER BY COUNT(*) DESC        ) AS rn            FROM orders o    JOIN order_details od         ON o.OrderID = od.OrderID    JOIN products p         ON od.ProductID = p.ProductID    JOIN categories c         ON p.CategoryID = c.CategoryID            GROUP BY o.CustomerID, c.CategoryName) tWHERE rn = 1ORDER BY total_count DESC;   </a:t>
          </a:r>
        </a:p>
      </xdr:txBody>
    </xdr:sp>
    <xdr:clientData/>
  </xdr:twoCellAnchor>
  <xdr:oneCellAnchor>
    <xdr:from>
      <xdr:col>14</xdr:col>
      <xdr:colOff>392430</xdr:colOff>
      <xdr:row>16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81DD46-4598-C99B-1373-CE190389CABF}"/>
            </a:ext>
          </a:extLst>
        </xdr:cNvPr>
        <xdr:cNvSpPr txBox="1"/>
      </xdr:nvSpPr>
      <xdr:spPr>
        <a:xfrm>
          <a:off x="892683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8</xdr:col>
      <xdr:colOff>409574</xdr:colOff>
      <xdr:row>0</xdr:row>
      <xdr:rowOff>65723</xdr:rowOff>
    </xdr:from>
    <xdr:to>
      <xdr:col>17</xdr:col>
      <xdr:colOff>93344</xdr:colOff>
      <xdr:row>2</xdr:row>
      <xdr:rowOff>100966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087DBC-6707-E977-720E-2F35AECD926E}"/>
            </a:ext>
          </a:extLst>
        </xdr:cNvPr>
        <xdr:cNvSpPr txBox="1"/>
      </xdr:nvSpPr>
      <xdr:spPr>
        <a:xfrm>
          <a:off x="5286374" y="65723"/>
          <a:ext cx="5170170" cy="3971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 we cluster customers based on total spend, order count, and preferred categories?</a:t>
          </a:r>
        </a:p>
        <a:p>
          <a:endParaRPr lang="en-IN" sz="1100"/>
        </a:p>
      </xdr:txBody>
    </xdr:sp>
    <xdr:clientData/>
  </xdr:twoCellAnchor>
  <xdr:oneCellAnchor>
    <xdr:from>
      <xdr:col>15</xdr:col>
      <xdr:colOff>281940</xdr:colOff>
      <xdr:row>21</xdr:row>
      <xdr:rowOff>15240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5A2396-3AC3-3BFD-AC38-B3ABF11351FC}"/>
            </a:ext>
          </a:extLst>
        </xdr:cNvPr>
        <xdr:cNvSpPr txBox="1"/>
      </xdr:nvSpPr>
      <xdr:spPr>
        <a:xfrm>
          <a:off x="9425940" y="38157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9</xdr:col>
      <xdr:colOff>466725</xdr:colOff>
      <xdr:row>16</xdr:row>
      <xdr:rowOff>31432</xdr:rowOff>
    </xdr:from>
    <xdr:to>
      <xdr:col>15</xdr:col>
      <xdr:colOff>215265</xdr:colOff>
      <xdr:row>31</xdr:row>
      <xdr:rowOff>58102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B0683C-203B-5229-DE49-F80FA42E9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89534</xdr:colOff>
      <xdr:row>1</xdr:row>
      <xdr:rowOff>18095</xdr:rowOff>
    </xdr:from>
    <xdr:to>
      <xdr:col>3</xdr:col>
      <xdr:colOff>533400</xdr:colOff>
      <xdr:row>52</xdr:row>
      <xdr:rowOff>133349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7DB430-9BD8-C507-054F-56DED848013F}"/>
            </a:ext>
          </a:extLst>
        </xdr:cNvPr>
        <xdr:cNvSpPr txBox="1"/>
      </xdr:nvSpPr>
      <xdr:spPr>
        <a:xfrm>
          <a:off x="89534" y="199070"/>
          <a:ext cx="2272666" cy="93449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'Category' AS analysis_type,    c.CategoryName AS name,    NULL AS location,        ROUND(SUM(od.UnitPrice * od.Quantity * (1 - od.Discount)), 2) AS total_revenue,    SUM(od.Quantity) AS total_quantity,    NULL AS total_orders,        ROUND(        SUM(od.UnitPrice * od.Quantity * (1 - od.Discount)) * 100.0 /        (SELECT SUM(UnitPrice * Quantity * (1 - Discount)) FROM order_details),    2) AS contribution_percentFROM order_details odJOIN products p ON od.ProductID = p.ProductIDJOIN categories c ON p.CategoryID = c.CategoryIDGROUP BY c.CategoryNameUNION ALLSELECT     'Product' AS analysis_type,    p.ProductName AS name,    NULL AS location,        ROUND(SUM(od.UnitPrice * od.Quantity * (1 - od.Discount)), 2) AS total_revenue,    SUM(od.Quantity) AS total_quantity,    NULL AS total_orders,        ROUND(        SUM(od.UnitPrice * od.Quantity * (1 - od.Discount)) * 100.0 /        (SELECT SUM(UnitPrice * Quantity * (1 - Discount)) FROM order_details),    2) AS contribution_percentFROM order_details odJOIN products p ON od.ProductID = p.ProductIDGROUP BY p.ProductNameUNION ALLSELECT     'Location_Category' AS analysis_type,    c.CategoryName AS name,    cu.Country AS location,        ROUND(SUM(od.UnitPrice * od.Quantity * (1 - od.Discount)), 2) AS total_revenue,    SUM(od.Quantity) AS total_quantity,    COUNT(DISTINCT o.OrderID) AS total_orders,        NULL AS contribution_percentFROM customers cuJOIN orders o ON cu.CustomerID = o.CustomerIDJOIN order_details od ON o.OrderID = od.OrderIDJOIN products p ON od.ProductID = p.ProductIDJOIN categories c ON p.CategoryID = c.CategoryIDGROUP BY cu.Country, c.CategoryNameORDER BY analysis_type, total_revenue DESC;</a:t>
          </a:r>
        </a:p>
      </xdr:txBody>
    </xdr:sp>
    <xdr:clientData/>
  </xdr:twoCellAnchor>
  <xdr:oneCellAnchor>
    <xdr:from>
      <xdr:col>15</xdr:col>
      <xdr:colOff>26670</xdr:colOff>
      <xdr:row>15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E2098A-6319-075E-3D6C-2D5E0F8E14B6}"/>
            </a:ext>
          </a:extLst>
        </xdr:cNvPr>
        <xdr:cNvSpPr txBox="1"/>
      </xdr:nvSpPr>
      <xdr:spPr>
        <a:xfrm>
          <a:off x="9170670" y="2828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14</xdr:col>
      <xdr:colOff>569595</xdr:colOff>
      <xdr:row>10</xdr:row>
      <xdr:rowOff>162877</xdr:rowOff>
    </xdr:from>
    <xdr:to>
      <xdr:col>18</xdr:col>
      <xdr:colOff>1405890</xdr:colOff>
      <xdr:row>18</xdr:row>
      <xdr:rowOff>10477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36761D-D338-0817-BDBB-50C952B19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234315</xdr:colOff>
      <xdr:row>0</xdr:row>
      <xdr:rowOff>0</xdr:rowOff>
    </xdr:from>
    <xdr:to>
      <xdr:col>11</xdr:col>
      <xdr:colOff>1295400</xdr:colOff>
      <xdr:row>1</xdr:row>
      <xdr:rowOff>111443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4DB908-003D-DA48-B802-36671A1001F5}"/>
            </a:ext>
          </a:extLst>
        </xdr:cNvPr>
        <xdr:cNvSpPr txBox="1"/>
      </xdr:nvSpPr>
      <xdr:spPr>
        <a:xfrm>
          <a:off x="4787265" y="0"/>
          <a:ext cx="4156710" cy="2924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product categories or products contribute most to order revenue</a:t>
          </a:r>
          <a:endParaRPr lang="en-IN" sz="1100"/>
        </a:p>
      </xdr:txBody>
    </xdr:sp>
    <xdr:clientData/>
  </xdr:twoCellAnchor>
  <xdr:oneCellAnchor>
    <xdr:from>
      <xdr:col>12</xdr:col>
      <xdr:colOff>419100</xdr:colOff>
      <xdr:row>13</xdr:row>
      <xdr:rowOff>26670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DBCFB-0B2D-2D99-6D7F-9385349C5591}"/>
            </a:ext>
          </a:extLst>
        </xdr:cNvPr>
        <xdr:cNvSpPr txBox="1"/>
      </xdr:nvSpPr>
      <xdr:spPr>
        <a:xfrm>
          <a:off x="9372600" y="38271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3</xdr:row>
      <xdr:rowOff>9525</xdr:rowOff>
    </xdr:from>
    <xdr:to>
      <xdr:col>3</xdr:col>
      <xdr:colOff>320040</xdr:colOff>
      <xdr:row>41</xdr:row>
      <xdr:rowOff>22859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B6D62DB-BF96-2078-168D-088AC0B655FF}"/>
            </a:ext>
          </a:extLst>
        </xdr:cNvPr>
        <xdr:cNvSpPr txBox="1"/>
      </xdr:nvSpPr>
      <xdr:spPr>
        <a:xfrm>
          <a:off x="95250" y="733425"/>
          <a:ext cx="2053590" cy="130435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WITH base AS (    SELECT         c.Country,        c.City,        cat.CategoryName,        p.ProductID,                COUNT(DISTINCT o.OrderID) AS order_count            FROM orders o    JOIN customers c USING (CustomerID)    JOIN order_details od USING (OrderID)    JOIN products p USING (ProductID)    JOIN categories cat USING (CategoryID)    GROUP BY         c.Country, c.City, cat.CategoryName, p.ProductID),-- Step 1: Top 3 Cities per Countrycity_ranked AS (    SELECT *,        ROW_NUMBER() OVER (            PARTITION BY Country             ORDER BY order_count DESC        ) AS city_rank    FROM base),-- Step 2: Top 3 Categories per Citycategory_ranked AS (    SELECT *,        ROW_NUMBER() OVER (            PARTITION BY Country, City             ORDER BY order_count DESC        ) AS category_rank    FROM city_ranked    WHERE city_rank &lt;= 3),-- Step 3: Top 3 Products per Categoryproduct_ranked AS (    SELECT *,        ROW_NUMBER() OVER (            PARTITION BY Country, City, CategoryName             ORDER BY order_count DESC        ) AS product_rank    FROM category_ranked    WHERE category_rank &lt;= 3)SELECT *FROM product_rankedWHERE product_rank &lt;= 3ORDER BY Country, City, CategoryName, order_count DESC;</a:t>
          </a:r>
        </a:p>
      </xdr:txBody>
    </xdr:sp>
    <xdr:clientData/>
  </xdr:twoCellAnchor>
  <xdr:oneCellAnchor>
    <xdr:from>
      <xdr:col>15</xdr:col>
      <xdr:colOff>217170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D811694-2585-7539-3702-826DEBCA5A42}"/>
            </a:ext>
          </a:extLst>
        </xdr:cNvPr>
        <xdr:cNvSpPr txBox="1"/>
      </xdr:nvSpPr>
      <xdr:spPr>
        <a:xfrm>
          <a:off x="9361170" y="380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18</xdr:col>
      <xdr:colOff>259080</xdr:colOff>
      <xdr:row>4</xdr:row>
      <xdr:rowOff>117157</xdr:rowOff>
    </xdr:from>
    <xdr:to>
      <xdr:col>25</xdr:col>
      <xdr:colOff>560070</xdr:colOff>
      <xdr:row>11</xdr:row>
      <xdr:rowOff>332422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E48866-4F0E-B745-0F94-69C9293B8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74295</xdr:colOff>
      <xdr:row>0</xdr:row>
      <xdr:rowOff>39053</xdr:rowOff>
    </xdr:from>
    <xdr:to>
      <xdr:col>3</xdr:col>
      <xdr:colOff>438150</xdr:colOff>
      <xdr:row>2</xdr:row>
      <xdr:rowOff>295275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63A5DE-6954-0779-6336-4433DD03C686}"/>
            </a:ext>
          </a:extLst>
        </xdr:cNvPr>
        <xdr:cNvSpPr txBox="1"/>
      </xdr:nvSpPr>
      <xdr:spPr>
        <a:xfrm>
          <a:off x="74295" y="39053"/>
          <a:ext cx="2192655" cy="6181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frequently do different customer segments place orders?</a:t>
          </a:r>
        </a:p>
        <a:p>
          <a:br>
            <a:rPr lang="en-IN"/>
          </a:br>
          <a:endParaRPr lang="en-IN" sz="1100"/>
        </a:p>
      </xdr:txBody>
    </xdr:sp>
    <xdr:clientData/>
  </xdr:twoCellAnchor>
  <xdr:oneCellAnchor>
    <xdr:from>
      <xdr:col>17</xdr:col>
      <xdr:colOff>381000</xdr:colOff>
      <xdr:row>10</xdr:row>
      <xdr:rowOff>331470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516BB40-B67D-3CA4-AD52-95218F3B6090}"/>
            </a:ext>
          </a:extLst>
        </xdr:cNvPr>
        <xdr:cNvSpPr txBox="1"/>
      </xdr:nvSpPr>
      <xdr:spPr>
        <a:xfrm>
          <a:off x="13106400" y="3589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192405</xdr:colOff>
      <xdr:row>0</xdr:row>
      <xdr:rowOff>8573</xdr:rowOff>
    </xdr:from>
    <xdr:to>
      <xdr:col>10</xdr:col>
      <xdr:colOff>544830</xdr:colOff>
      <xdr:row>1</xdr:row>
      <xdr:rowOff>131445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E42891-612D-0D46-CD8A-645C884122FD}"/>
            </a:ext>
          </a:extLst>
        </xdr:cNvPr>
        <xdr:cNvSpPr txBox="1"/>
      </xdr:nvSpPr>
      <xdr:spPr>
        <a:xfrm>
          <a:off x="2630805" y="8573"/>
          <a:ext cx="4010025" cy="3038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geographic and title-wise distribution of employees?</a:t>
          </a:r>
        </a:p>
        <a:p>
          <a:br>
            <a:rPr lang="en-IN"/>
          </a:br>
          <a:endParaRPr lang="en-IN" sz="1100"/>
        </a:p>
      </xdr:txBody>
    </xdr:sp>
    <xdr:clientData/>
  </xdr:twoCellAnchor>
  <xdr:oneCellAnchor>
    <xdr:from>
      <xdr:col>15</xdr:col>
      <xdr:colOff>316230</xdr:colOff>
      <xdr:row>21</xdr:row>
      <xdr:rowOff>38100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0C829D2-6643-672E-740E-BBEFEBF1FA61}"/>
            </a:ext>
          </a:extLst>
        </xdr:cNvPr>
        <xdr:cNvSpPr txBox="1"/>
      </xdr:nvSpPr>
      <xdr:spPr>
        <a:xfrm>
          <a:off x="9460230" y="3838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15240</xdr:colOff>
      <xdr:row>0</xdr:row>
      <xdr:rowOff>98107</xdr:rowOff>
    </xdr:from>
    <xdr:to>
      <xdr:col>1</xdr:col>
      <xdr:colOff>485775</xdr:colOff>
      <xdr:row>7</xdr:row>
      <xdr:rowOff>333375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2F29F0-7894-BDD7-97A2-E33008AB8F81}"/>
            </a:ext>
          </a:extLst>
        </xdr:cNvPr>
        <xdr:cNvSpPr txBox="1"/>
      </xdr:nvSpPr>
      <xdr:spPr>
        <a:xfrm>
          <a:off x="15240" y="98107"/>
          <a:ext cx="1080135" cy="27974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e.Country,    e.City,    e.Title,        COUNT(*) AS total_employeesFROM employees eGROUP BY     e.Country,    e.City,    e.TitleORDER BY     e.Country,    e.City,    total_employees DESC;</a:t>
          </a:r>
        </a:p>
      </xdr:txBody>
    </xdr:sp>
    <xdr:clientData/>
  </xdr:twoCellAnchor>
  <xdr:twoCellAnchor>
    <xdr:from>
      <xdr:col>15</xdr:col>
      <xdr:colOff>211456</xdr:colOff>
      <xdr:row>21</xdr:row>
      <xdr:rowOff>9525</xdr:rowOff>
    </xdr:from>
    <xdr:to>
      <xdr:col>15</xdr:col>
      <xdr:colOff>257175</xdr:colOff>
      <xdr:row>21</xdr:row>
      <xdr:rowOff>57150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595624-EF5A-2CBF-3B9B-C47618BA6FC4}"/>
            </a:ext>
          </a:extLst>
        </xdr:cNvPr>
        <xdr:cNvSpPr txBox="1"/>
      </xdr:nvSpPr>
      <xdr:spPr>
        <a:xfrm>
          <a:off x="9355456" y="3810000"/>
          <a:ext cx="45719" cy="47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4</xdr:col>
      <xdr:colOff>411480</xdr:colOff>
      <xdr:row>9</xdr:row>
      <xdr:rowOff>540067</xdr:rowOff>
    </xdr:from>
    <xdr:to>
      <xdr:col>11</xdr:col>
      <xdr:colOff>377190</xdr:colOff>
      <xdr:row>25</xdr:row>
      <xdr:rowOff>18097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02968B-6364-E137-1D81-36CC6EC5BE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266699</xdr:colOff>
      <xdr:row>0</xdr:row>
      <xdr:rowOff>60008</xdr:rowOff>
    </xdr:from>
    <xdr:to>
      <xdr:col>8</xdr:col>
      <xdr:colOff>358141</xdr:colOff>
      <xdr:row>2</xdr:row>
      <xdr:rowOff>167641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1C336A-47B8-AF17-1D9B-480CA7322177}"/>
            </a:ext>
          </a:extLst>
        </xdr:cNvPr>
        <xdr:cNvSpPr txBox="1"/>
      </xdr:nvSpPr>
      <xdr:spPr>
        <a:xfrm>
          <a:off x="2705099" y="60008"/>
          <a:ext cx="2529842" cy="469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trends can we observe in hire dates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across employee titles?</a:t>
          </a: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0</xdr:col>
      <xdr:colOff>28574</xdr:colOff>
      <xdr:row>0</xdr:row>
      <xdr:rowOff>56197</xdr:rowOff>
    </xdr:from>
    <xdr:to>
      <xdr:col>1</xdr:col>
      <xdr:colOff>535304</xdr:colOff>
      <xdr:row>12</xdr:row>
      <xdr:rowOff>179070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64AF60-32DC-1C9D-543E-99BC3A9772FE}"/>
            </a:ext>
          </a:extLst>
        </xdr:cNvPr>
        <xdr:cNvSpPr txBox="1"/>
      </xdr:nvSpPr>
      <xdr:spPr>
        <a:xfrm>
          <a:off x="28574" y="56197"/>
          <a:ext cx="1116330" cy="2294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YEAR(HireDate) AS hire_year,    Title,        COUNT(*) AS total_hiresFROM employeesGROUP BY     YEAR(HireDate),    TitleORDER BY     hire_year,    total_hires DESC;</a:t>
          </a:r>
        </a:p>
      </xdr:txBody>
    </xdr:sp>
    <xdr:clientData/>
  </xdr:twoCellAnchor>
  <xdr:oneCellAnchor>
    <xdr:from>
      <xdr:col>16</xdr:col>
      <xdr:colOff>152400</xdr:colOff>
      <xdr:row>19</xdr:row>
      <xdr:rowOff>26670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06E58E9-CEEC-4FF8-6C80-D75954CC8037}"/>
            </a:ext>
          </a:extLst>
        </xdr:cNvPr>
        <xdr:cNvSpPr txBox="1"/>
      </xdr:nvSpPr>
      <xdr:spPr>
        <a:xfrm>
          <a:off x="9906000" y="34651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8</xdr:col>
      <xdr:colOff>891540</xdr:colOff>
      <xdr:row>5</xdr:row>
      <xdr:rowOff>82867</xdr:rowOff>
    </xdr:from>
    <xdr:to>
      <xdr:col>14</xdr:col>
      <xdr:colOff>220980</xdr:colOff>
      <xdr:row>10</xdr:row>
      <xdr:rowOff>256222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03B2C3-0137-65E2-43DD-D28BE98C0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0</xdr:row>
      <xdr:rowOff>115252</xdr:rowOff>
    </xdr:from>
    <xdr:to>
      <xdr:col>11</xdr:col>
      <xdr:colOff>447675</xdr:colOff>
      <xdr:row>2</xdr:row>
      <xdr:rowOff>5715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EA8FBF-544F-0F81-FB9E-DA453FB4F9F6}"/>
            </a:ext>
          </a:extLst>
        </xdr:cNvPr>
        <xdr:cNvSpPr txBox="1"/>
      </xdr:nvSpPr>
      <xdr:spPr>
        <a:xfrm>
          <a:off x="2924175" y="115252"/>
          <a:ext cx="4229100" cy="2524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patterns exist in employee title and courtesy title distributions</a:t>
          </a:r>
        </a:p>
      </xdr:txBody>
    </xdr:sp>
    <xdr:clientData/>
  </xdr:twoCellAnchor>
  <xdr:twoCellAnchor>
    <xdr:from>
      <xdr:col>0</xdr:col>
      <xdr:colOff>57149</xdr:colOff>
      <xdr:row>0</xdr:row>
      <xdr:rowOff>75247</xdr:rowOff>
    </xdr:from>
    <xdr:to>
      <xdr:col>1</xdr:col>
      <xdr:colOff>563879</xdr:colOff>
      <xdr:row>13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4CBCFE-193D-F359-1B39-D5EFD72A32FC}"/>
            </a:ext>
          </a:extLst>
        </xdr:cNvPr>
        <xdr:cNvSpPr txBox="1"/>
      </xdr:nvSpPr>
      <xdr:spPr>
        <a:xfrm>
          <a:off x="57149" y="75247"/>
          <a:ext cx="1116330" cy="24374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Title,    TitleOfCourtesy,        COUNT(*) AS total_employeesFROM employeesGROUP BY     Title,    TitleOfCourtesyORDER BY     Title,    total_employees DESC;</a:t>
          </a:r>
        </a:p>
      </xdr:txBody>
    </xdr:sp>
    <xdr:clientData/>
  </xdr:twoCellAnchor>
  <xdr:oneCellAnchor>
    <xdr:from>
      <xdr:col>15</xdr:col>
      <xdr:colOff>163830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B4972D-1334-BA36-9CD9-2D6D4501C5D2}"/>
            </a:ext>
          </a:extLst>
        </xdr:cNvPr>
        <xdr:cNvSpPr txBox="1"/>
      </xdr:nvSpPr>
      <xdr:spPr>
        <a:xfrm>
          <a:off x="9307830" y="380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3</xdr:col>
      <xdr:colOff>904875</xdr:colOff>
      <xdr:row>10</xdr:row>
      <xdr:rowOff>39052</xdr:rowOff>
    </xdr:from>
    <xdr:to>
      <xdr:col>10</xdr:col>
      <xdr:colOff>438150</xdr:colOff>
      <xdr:row>25</xdr:row>
      <xdr:rowOff>75247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0FA6D6-410F-8B36-AAA8-BE7C94887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66674</xdr:colOff>
      <xdr:row>0</xdr:row>
      <xdr:rowOff>122872</xdr:rowOff>
    </xdr:from>
    <xdr:to>
      <xdr:col>11</xdr:col>
      <xdr:colOff>207644</xdr:colOff>
      <xdr:row>3</xdr:row>
      <xdr:rowOff>64770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F8DFAE-B6B4-FF58-13E3-77CE458AF066}"/>
            </a:ext>
          </a:extLst>
        </xdr:cNvPr>
        <xdr:cNvSpPr txBox="1"/>
      </xdr:nvSpPr>
      <xdr:spPr>
        <a:xfrm>
          <a:off x="2505074" y="122872"/>
          <a:ext cx="4408170" cy="4848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there correlations between product pricing, stock levels, and sales performance</a:t>
          </a:r>
          <a:endParaRPr lang="en-IN" sz="1100"/>
        </a:p>
      </xdr:txBody>
    </xdr:sp>
    <xdr:clientData/>
  </xdr:twoCellAnchor>
  <xdr:oneCellAnchor>
    <xdr:from>
      <xdr:col>15</xdr:col>
      <xdr:colOff>320040</xdr:colOff>
      <xdr:row>19</xdr:row>
      <xdr:rowOff>49530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29FAA8-DE9B-FB1F-9B5A-0550B8A6C60E}"/>
            </a:ext>
          </a:extLst>
        </xdr:cNvPr>
        <xdr:cNvSpPr txBox="1"/>
      </xdr:nvSpPr>
      <xdr:spPr>
        <a:xfrm>
          <a:off x="9464040" y="34880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104775</xdr:colOff>
      <xdr:row>0</xdr:row>
      <xdr:rowOff>94297</xdr:rowOff>
    </xdr:from>
    <xdr:to>
      <xdr:col>2</xdr:col>
      <xdr:colOff>485775</xdr:colOff>
      <xdr:row>20</xdr:row>
      <xdr:rowOff>125730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F8D402-33C7-C4F6-1F64-BE630A3585EB}"/>
            </a:ext>
          </a:extLst>
        </xdr:cNvPr>
        <xdr:cNvSpPr txBox="1"/>
      </xdr:nvSpPr>
      <xdr:spPr>
        <a:xfrm>
          <a:off x="104775" y="94297"/>
          <a:ext cx="1600200" cy="3650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p.ProductID,    p.ProductName,        p.UnitPrice AS price,    p.UnitsInStock AS stock,        SUM(od.Quantity) AS total_quantity_sold,        ROUND(SUM(od.UnitPrice * od.Quantity * (1 - od.Discount)), 2) AS total_revenueFROM products pLEFT JOIN order_details od     ON p.ProductID = od.ProductIDGROUP BY     p.ProductID,    p.ProductName,    p.UnitPrice,    p.UnitsInStockORDER BY total_revenue DESC;</a:t>
          </a:r>
        </a:p>
        <a:p>
          <a:endParaRPr lang="en-IN" sz="1100"/>
        </a:p>
      </xdr:txBody>
    </xdr:sp>
    <xdr:clientData/>
  </xdr:twoCellAnchor>
  <xdr:twoCellAnchor>
    <xdr:from>
      <xdr:col>17</xdr:col>
      <xdr:colOff>497205</xdr:colOff>
      <xdr:row>5</xdr:row>
      <xdr:rowOff>180022</xdr:rowOff>
    </xdr:from>
    <xdr:to>
      <xdr:col>22</xdr:col>
      <xdr:colOff>544830</xdr:colOff>
      <xdr:row>11</xdr:row>
      <xdr:rowOff>178117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BA052D-27A3-AFE3-0C90-A9B7E3478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84772</xdr:rowOff>
    </xdr:from>
    <xdr:to>
      <xdr:col>8</xdr:col>
      <xdr:colOff>238125</xdr:colOff>
      <xdr:row>2</xdr:row>
      <xdr:rowOff>154305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0B2257-F822-3314-7EC7-AFE10C9D36BD}"/>
            </a:ext>
          </a:extLst>
        </xdr:cNvPr>
        <xdr:cNvSpPr txBox="1"/>
      </xdr:nvSpPr>
      <xdr:spPr>
        <a:xfrm>
          <a:off x="1457325" y="84772"/>
          <a:ext cx="3657600" cy="4314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does product demand change over months or seasons?</a:t>
          </a:r>
        </a:p>
        <a:p>
          <a:endParaRPr lang="en-IN" sz="1100"/>
        </a:p>
      </xdr:txBody>
    </xdr:sp>
    <xdr:clientData/>
  </xdr:twoCellAnchor>
  <xdr:oneCellAnchor>
    <xdr:from>
      <xdr:col>16</xdr:col>
      <xdr:colOff>201930</xdr:colOff>
      <xdr:row>18</xdr:row>
      <xdr:rowOff>167640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363633-9904-F067-B5AB-4BD4C741ECF9}"/>
            </a:ext>
          </a:extLst>
        </xdr:cNvPr>
        <xdr:cNvSpPr txBox="1"/>
      </xdr:nvSpPr>
      <xdr:spPr>
        <a:xfrm>
          <a:off x="9955530" y="34251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3</xdr:row>
      <xdr:rowOff>75247</xdr:rowOff>
    </xdr:from>
    <xdr:to>
      <xdr:col>2</xdr:col>
      <xdr:colOff>243840</xdr:colOff>
      <xdr:row>21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F84ADC-34F0-F9AB-D5A3-19B31B543FE4}"/>
            </a:ext>
          </a:extLst>
        </xdr:cNvPr>
        <xdr:cNvSpPr txBox="1"/>
      </xdr:nvSpPr>
      <xdr:spPr>
        <a:xfrm>
          <a:off x="0" y="618172"/>
          <a:ext cx="1463040" cy="33537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YEAR(o.OrderDate) AS year,    MONTH(o.OrderDate) AS month,    p.ProductName,        SUM(od.Quantity) AS total_quantityFROM orders oJOIN order_details od USING (OrderID)JOIN products p USING (ProductID)GROUP BY     YEAR(o.OrderDate),    MONTH(o.OrderDate),    p.ProductNameORDER BY year, month, total_quantity DESC;</a:t>
          </a:r>
        </a:p>
      </xdr:txBody>
    </xdr:sp>
    <xdr:clientData/>
  </xdr:twoCellAnchor>
  <xdr:oneCellAnchor>
    <xdr:from>
      <xdr:col>16</xdr:col>
      <xdr:colOff>114300</xdr:colOff>
      <xdr:row>20</xdr:row>
      <xdr:rowOff>64770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0884747-7B7A-4111-14BD-E5E33BFE8FD8}"/>
            </a:ext>
          </a:extLst>
        </xdr:cNvPr>
        <xdr:cNvSpPr txBox="1"/>
      </xdr:nvSpPr>
      <xdr:spPr>
        <a:xfrm>
          <a:off x="9867900" y="36842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26</xdr:col>
      <xdr:colOff>219074</xdr:colOff>
      <xdr:row>9</xdr:row>
      <xdr:rowOff>162877</xdr:rowOff>
    </xdr:from>
    <xdr:to>
      <xdr:col>32</xdr:col>
      <xdr:colOff>1308734</xdr:colOff>
      <xdr:row>15</xdr:row>
      <xdr:rowOff>502920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CBC1FD-AAFD-D24E-C003-665352877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0</xdr:row>
      <xdr:rowOff>84772</xdr:rowOff>
    </xdr:from>
    <xdr:to>
      <xdr:col>10</xdr:col>
      <xdr:colOff>561975</xdr:colOff>
      <xdr:row>1</xdr:row>
      <xdr:rowOff>120015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F3833D-C026-83B4-1F63-4BD8D50EC45D}"/>
            </a:ext>
          </a:extLst>
        </xdr:cNvPr>
        <xdr:cNvSpPr txBox="1"/>
      </xdr:nvSpPr>
      <xdr:spPr>
        <a:xfrm>
          <a:off x="2657475" y="84772"/>
          <a:ext cx="4000500" cy="2162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 we identify anomalies in product sales or revenue performance?</a:t>
          </a:r>
        </a:p>
        <a:p>
          <a:endParaRPr lang="en-IN" sz="1100"/>
        </a:p>
      </xdr:txBody>
    </xdr:sp>
    <xdr:clientData/>
  </xdr:twoCellAnchor>
  <xdr:oneCellAnchor>
    <xdr:from>
      <xdr:col>15</xdr:col>
      <xdr:colOff>205740</xdr:colOff>
      <xdr:row>20</xdr:row>
      <xdr:rowOff>167640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24FF4F-D9B2-5784-AA90-B8B2E592E7D1}"/>
            </a:ext>
          </a:extLst>
        </xdr:cNvPr>
        <xdr:cNvSpPr txBox="1"/>
      </xdr:nvSpPr>
      <xdr:spPr>
        <a:xfrm>
          <a:off x="9349740" y="3787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85725</xdr:colOff>
      <xdr:row>0</xdr:row>
      <xdr:rowOff>117156</xdr:rowOff>
    </xdr:from>
    <xdr:to>
      <xdr:col>2</xdr:col>
      <xdr:colOff>340996</xdr:colOff>
      <xdr:row>33</xdr:row>
      <xdr:rowOff>55245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D771BE-AD5C-07ED-A9CE-E23CFD79821A}"/>
            </a:ext>
          </a:extLst>
        </xdr:cNvPr>
        <xdr:cNvSpPr txBox="1"/>
      </xdr:nvSpPr>
      <xdr:spPr>
        <a:xfrm>
          <a:off x="85725" y="117156"/>
          <a:ext cx="1474471" cy="59102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WITH product_rev AS (    SELECT         p.ProductName,        SUM(od.UnitPrice * od.Quantity) AS revenue    FROM order_details od    JOIN products p USING (ProductID)    GROUP BY p.ProductName),avg_val AS (    SELECT AVG(revenue) AS avg_revenue FROM product_rev)SELECT     pr.ProductName,    ROUND(pr.revenue,2) AS revenue,    ROUND(av.avg_revenue,2) AS avg_revenue,        CASE         WHEN pr.revenue &gt; av.avg_revenue * 2 THEN 'High Anomaly'        WHEN pr.revenue &lt; av.avg_revenue * 0.5 THEN 'Low Anomaly'        ELSE 'Normal'    END AS anomaly_flagFROM product_rev prCROSS JOIN avg_val avORDER BY revenue DESC;</a:t>
          </a:r>
        </a:p>
      </xdr:txBody>
    </xdr:sp>
    <xdr:clientData/>
  </xdr:twoCellAnchor>
  <xdr:oneCellAnchor>
    <xdr:from>
      <xdr:col>15</xdr:col>
      <xdr:colOff>407670</xdr:colOff>
      <xdr:row>20</xdr:row>
      <xdr:rowOff>11430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081EE1-C1DF-3C53-06A3-3DD9D8A0EBC6}"/>
            </a:ext>
          </a:extLst>
        </xdr:cNvPr>
        <xdr:cNvSpPr txBox="1"/>
      </xdr:nvSpPr>
      <xdr:spPr>
        <a:xfrm>
          <a:off x="9551670" y="36309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16</xdr:col>
      <xdr:colOff>573405</xdr:colOff>
      <xdr:row>4</xdr:row>
      <xdr:rowOff>359092</xdr:rowOff>
    </xdr:from>
    <xdr:to>
      <xdr:col>20</xdr:col>
      <xdr:colOff>977265</xdr:colOff>
      <xdr:row>9</xdr:row>
      <xdr:rowOff>543877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D3B951-956B-8037-4B95-93B258E7B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504825</xdr:colOff>
      <xdr:row>0</xdr:row>
      <xdr:rowOff>84773</xdr:rowOff>
    </xdr:from>
    <xdr:to>
      <xdr:col>11</xdr:col>
      <xdr:colOff>123825</xdr:colOff>
      <xdr:row>2</xdr:row>
      <xdr:rowOff>87631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C8714C-4C04-6786-329B-79C6D55921E2}"/>
            </a:ext>
          </a:extLst>
        </xdr:cNvPr>
        <xdr:cNvSpPr txBox="1"/>
      </xdr:nvSpPr>
      <xdr:spPr>
        <a:xfrm>
          <a:off x="2943225" y="84773"/>
          <a:ext cx="3886200" cy="3648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there any regional trends in supplier distribution and pricing?</a:t>
          </a:r>
        </a:p>
        <a:p>
          <a:br>
            <a:rPr lang="en-IN"/>
          </a:br>
          <a:endParaRPr lang="en-IN" sz="1100"/>
        </a:p>
      </xdr:txBody>
    </xdr:sp>
    <xdr:clientData/>
  </xdr:twoCellAnchor>
  <xdr:oneCellAnchor>
    <xdr:from>
      <xdr:col>16</xdr:col>
      <xdr:colOff>392430</xdr:colOff>
      <xdr:row>17</xdr:row>
      <xdr:rowOff>91440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3179049-E051-3C3F-ADEF-9C3581BC6DC7}"/>
            </a:ext>
          </a:extLst>
        </xdr:cNvPr>
        <xdr:cNvSpPr txBox="1"/>
      </xdr:nvSpPr>
      <xdr:spPr>
        <a:xfrm>
          <a:off x="10146030" y="3168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0</xdr:colOff>
      <xdr:row>0</xdr:row>
      <xdr:rowOff>124777</xdr:rowOff>
    </xdr:from>
    <xdr:to>
      <xdr:col>2</xdr:col>
      <xdr:colOff>228600</xdr:colOff>
      <xdr:row>15</xdr:row>
      <xdr:rowOff>26670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39F717-3FEB-7637-8ADA-288730E11118}"/>
            </a:ext>
          </a:extLst>
        </xdr:cNvPr>
        <xdr:cNvSpPr txBox="1"/>
      </xdr:nvSpPr>
      <xdr:spPr>
        <a:xfrm>
          <a:off x="0" y="124777"/>
          <a:ext cx="1447800" cy="2616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s.Country,        COUNT(DISTINCT s.SupplierID) AS total_suppliers,        ROUND(AVG(p.UnitPrice), 2) AS avg_priceFROM suppliers sJOIN products p USING (SupplierID)GROUP BY s.CountryORDER BY avg_price DESC;</a:t>
          </a:r>
        </a:p>
      </xdr:txBody>
    </xdr:sp>
    <xdr:clientData/>
  </xdr:twoCellAnchor>
  <xdr:oneCellAnchor>
    <xdr:from>
      <xdr:col>15</xdr:col>
      <xdr:colOff>483870</xdr:colOff>
      <xdr:row>19</xdr:row>
      <xdr:rowOff>64770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41D642-6C4E-D891-3BE2-80C6F5AC1B9C}"/>
            </a:ext>
          </a:extLst>
        </xdr:cNvPr>
        <xdr:cNvSpPr txBox="1"/>
      </xdr:nvSpPr>
      <xdr:spPr>
        <a:xfrm>
          <a:off x="9627870" y="350329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6</xdr:col>
      <xdr:colOff>382905</xdr:colOff>
      <xdr:row>18</xdr:row>
      <xdr:rowOff>345757</xdr:rowOff>
    </xdr:from>
    <xdr:to>
      <xdr:col>13</xdr:col>
      <xdr:colOff>398145</xdr:colOff>
      <xdr:row>34</xdr:row>
      <xdr:rowOff>10477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ACB195-E81B-5B28-881D-EF0519A187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211454</xdr:colOff>
      <xdr:row>0</xdr:row>
      <xdr:rowOff>84773</xdr:rowOff>
    </xdr:from>
    <xdr:to>
      <xdr:col>11</xdr:col>
      <xdr:colOff>160019</xdr:colOff>
      <xdr:row>2</xdr:row>
      <xdr:rowOff>158116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26B088-2F78-8959-51AE-969DCC2C643C}"/>
            </a:ext>
          </a:extLst>
        </xdr:cNvPr>
        <xdr:cNvSpPr txBox="1"/>
      </xdr:nvSpPr>
      <xdr:spPr>
        <a:xfrm>
          <a:off x="3869054" y="84773"/>
          <a:ext cx="2996565" cy="435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are suppliers distributed across different</a:t>
          </a:r>
        </a:p>
        <a:p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product categories?</a:t>
          </a:r>
        </a:p>
        <a:p>
          <a:br>
            <a:rPr lang="en-IN"/>
          </a:br>
          <a:endParaRPr lang="en-IN" sz="1100"/>
        </a:p>
      </xdr:txBody>
    </xdr:sp>
    <xdr:clientData/>
  </xdr:twoCellAnchor>
  <xdr:twoCellAnchor>
    <xdr:from>
      <xdr:col>0</xdr:col>
      <xdr:colOff>95250</xdr:colOff>
      <xdr:row>0</xdr:row>
      <xdr:rowOff>75247</xdr:rowOff>
    </xdr:from>
    <xdr:to>
      <xdr:col>2</xdr:col>
      <xdr:colOff>95250</xdr:colOff>
      <xdr:row>16</xdr:row>
      <xdr:rowOff>160020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66B2A7D-EE31-0375-FE76-3099748D46F1}"/>
            </a:ext>
          </a:extLst>
        </xdr:cNvPr>
        <xdr:cNvSpPr txBox="1"/>
      </xdr:nvSpPr>
      <xdr:spPr>
        <a:xfrm>
          <a:off x="95250" y="75247"/>
          <a:ext cx="1219200" cy="29803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c.CategoryName,        COUNT(DISTINCT p.SupplierID) AS total_suppliersFROM products pJOIN categories c USING (CategoryID)GROUP BY c.CategoryNameORDER BY total_suppliers DESC;</a:t>
          </a:r>
        </a:p>
      </xdr:txBody>
    </xdr:sp>
    <xdr:clientData/>
  </xdr:twoCellAnchor>
  <xdr:oneCellAnchor>
    <xdr:from>
      <xdr:col>16</xdr:col>
      <xdr:colOff>548640</xdr:colOff>
      <xdr:row>17</xdr:row>
      <xdr:rowOff>140970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52A91A-E066-5796-3610-F6C9E6DAE6D9}"/>
            </a:ext>
          </a:extLst>
        </xdr:cNvPr>
        <xdr:cNvSpPr txBox="1"/>
      </xdr:nvSpPr>
      <xdr:spPr>
        <a:xfrm>
          <a:off x="10302240" y="321754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64770</xdr:colOff>
      <xdr:row>11</xdr:row>
      <xdr:rowOff>79057</xdr:rowOff>
    </xdr:from>
    <xdr:to>
      <xdr:col>12</xdr:col>
      <xdr:colOff>369570</xdr:colOff>
      <xdr:row>26</xdr:row>
      <xdr:rowOff>105727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6C1FEA-B465-A402-EA94-2FE3A0CE1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323849</xdr:colOff>
      <xdr:row>0</xdr:row>
      <xdr:rowOff>37148</xdr:rowOff>
    </xdr:from>
    <xdr:to>
      <xdr:col>15</xdr:col>
      <xdr:colOff>220979</xdr:colOff>
      <xdr:row>2</xdr:row>
      <xdr:rowOff>110491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DC77A7-0152-5976-00EE-30F2C6557E38}"/>
            </a:ext>
          </a:extLst>
        </xdr:cNvPr>
        <xdr:cNvSpPr txBox="1"/>
      </xdr:nvSpPr>
      <xdr:spPr>
        <a:xfrm>
          <a:off x="5200649" y="37148"/>
          <a:ext cx="4164330" cy="435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do supplier pricing and categories relate across different regions?</a:t>
          </a:r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0</xdr:col>
      <xdr:colOff>47624</xdr:colOff>
      <xdr:row>0</xdr:row>
      <xdr:rowOff>56197</xdr:rowOff>
    </xdr:from>
    <xdr:to>
      <xdr:col>2</xdr:col>
      <xdr:colOff>516254</xdr:colOff>
      <xdr:row>13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2E3718-CC6C-4509-9C1D-4699CDD14CE7}"/>
            </a:ext>
          </a:extLst>
        </xdr:cNvPr>
        <xdr:cNvSpPr txBox="1"/>
      </xdr:nvSpPr>
      <xdr:spPr>
        <a:xfrm>
          <a:off x="47624" y="56197"/>
          <a:ext cx="1687830" cy="23060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SELECT     s.Country,    c.CategoryName,        ROUND(AVG(p.UnitPrice), 2) AS avg_priceFROM suppliers sJOIN products p USING (SupplierID)JOIN categories c USING (CategoryID)GROUP BY s.Country, c.CategoryNameORDER BY s.Country, avg_price DESC;</a:t>
          </a:r>
        </a:p>
      </xdr:txBody>
    </xdr:sp>
    <xdr:clientData/>
  </xdr:twoCellAnchor>
  <xdr:twoCellAnchor>
    <xdr:from>
      <xdr:col>14</xdr:col>
      <xdr:colOff>247650</xdr:colOff>
      <xdr:row>6</xdr:row>
      <xdr:rowOff>220027</xdr:rowOff>
    </xdr:from>
    <xdr:to>
      <xdr:col>19</xdr:col>
      <xdr:colOff>424815</xdr:colOff>
      <xdr:row>14</xdr:row>
      <xdr:rowOff>75247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A58E88-B8FE-1B3A-A540-45B6AAD0F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749618287038" createdVersion="8" refreshedVersion="8" minRefreshableVersion="3" recordCount="5" xr:uid="{5EBC6B61-C7A5-427B-A609-6E90F54FA568}">
  <cacheSource type="worksheet">
    <worksheetSource ref="A2:F7" sheet="Q1"/>
  </cacheSource>
  <cacheFields count="6">
    <cacheField name="CustomerID" numFmtId="0">
      <sharedItems/>
    </cacheField>
    <cacheField name="total_orders" numFmtId="0">
      <sharedItems containsSemiMixedTypes="0" containsString="0" containsNumber="1" containsInteger="1" minValue="46" maxValue="102"/>
    </cacheField>
    <cacheField name="total_spend" numFmtId="0">
      <sharedItems containsSemiMixedTypes="0" containsString="0" containsNumber="1" minValue="50871.3" maxValue="110541.9"/>
    </cacheField>
    <cacheField name="Customer_Type" numFmtId="0">
      <sharedItems/>
    </cacheField>
    <cacheField name="Value_Segment" numFmtId="0">
      <sharedItems count="1">
        <s v="High Value"/>
      </sharedItems>
    </cacheField>
    <cacheField name="Customer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780486574076" createdVersion="8" refreshedVersion="8" minRefreshableVersion="3" recordCount="69" xr:uid="{3CF00E5C-5B70-45A9-81FA-7CAE839C50E9}">
  <cacheSource type="worksheet">
    <worksheetSource name="Table2"/>
  </cacheSource>
  <cacheFields count="7">
    <cacheField name="Country" numFmtId="0">
      <sharedItems count="21">
        <s v="Germany"/>
        <s v="Austria"/>
        <s v="USA"/>
        <s v="Ireland"/>
        <s v="Canada"/>
        <s v="Sweden"/>
        <s v="France"/>
        <s v="Belgium"/>
        <s v="Venezuela"/>
        <s v="Denmark"/>
        <s v="Finland"/>
        <s v="Switzerland"/>
        <s v="Spain"/>
        <s v="Brazil"/>
        <s v="Italy"/>
        <s v="UK"/>
        <s v="Norway"/>
        <s v="Poland"/>
        <s v="Portugal"/>
        <s v="Argentina"/>
        <s v="Mexico"/>
      </sharedItems>
    </cacheField>
    <cacheField name="City" numFmtId="0">
      <sharedItems count="69">
        <s v="Cunewalde"/>
        <s v="Graz"/>
        <s v="Boise"/>
        <s v="Cork"/>
        <s v="Albuquerque"/>
        <s v="MontrÃ©al"/>
        <s v="BrÃ¤cke"/>
        <s v="Brandenburg"/>
        <s v="LuleÃ¥"/>
        <s v="MÃ¼nchen"/>
        <s v="Marseille"/>
        <s v="Salzburg"/>
        <s v="Charleroi"/>
        <s v="San CristÃ³bal"/>
        <s v="Tsawassen"/>
        <s v="Frankfurt a.M."/>
        <s v="Seattle"/>
        <s v="Strasbourg"/>
        <s v="Eugene"/>
        <s v="KÃ¸benhavn"/>
        <s v="Barquisimeto"/>
        <s v="Ã…rhus"/>
        <s v="Oulu"/>
        <s v="GenÃ¨ve"/>
        <s v="Anchorage"/>
        <s v="I. de Margarita"/>
        <s v="Lander"/>
        <s v="KÃ¶ln"/>
        <s v="Lille"/>
        <s v="Sevilla"/>
        <s v="Bruxelles"/>
        <s v="Toulouse"/>
        <s v="Lyon"/>
        <s v="Bern"/>
        <s v="Stuttgart"/>
        <s v="Campinas"/>
        <s v="Bergamo"/>
        <s v="Resende"/>
        <s v="Reggio Emilia"/>
        <s v="Cowes"/>
        <s v="Stavern"/>
        <s v="Leipzig"/>
        <s v="MÃ¼nster"/>
        <s v="Berlin"/>
        <s v="San Francisco"/>
        <s v="Helsinki"/>
        <s v="Elgin"/>
        <s v="Warszawa"/>
        <s v="Mannheim"/>
        <s v="Paris"/>
        <s v="Versailles"/>
        <s v="Aachen"/>
        <s v="Butte"/>
        <s v="Kirkland"/>
        <s v="Caracas"/>
        <s v="Reims"/>
        <s v="Barcelona"/>
        <s v="Vancouver"/>
        <s v="Walla Walla"/>
        <s v="Torino"/>
        <s v="Lisboa"/>
        <s v="Madrid"/>
        <s v="Portland"/>
        <s v="Nantes"/>
        <s v="Rio de Janeiro"/>
        <s v="Buenos Aires"/>
        <s v="SÃ£o Paulo"/>
        <s v="MÃ©xico D.F."/>
        <s v="London"/>
      </sharedItems>
    </cacheField>
    <cacheField name="total_customers" numFmtId="0">
      <sharedItems containsSemiMixedTypes="0" containsString="0" containsNumber="1" containsInteger="1" minValue="1" maxValue="6"/>
    </cacheField>
    <cacheField name=" total_orders" numFmtId="0">
      <sharedItems containsSemiMixedTypes="0" containsString="0" containsNumber="1" containsInteger="1" minValue="2" maxValue="102"/>
    </cacheField>
    <cacheField name="total_revenue" numFmtId="0">
      <sharedItems containsSemiMixedTypes="0" containsString="0" containsNumber="1" minValue="249.7" maxValue="110541.9"/>
    </cacheField>
    <cacheField name="avg_order_value" numFmtId="0">
      <sharedItems containsSemiMixedTypes="0" containsString="0" containsNumber="1" minValue="62.42" maxValue="4094.14"/>
    </cacheField>
    <cacheField name="avg_orders_per_customer" numFmtId="0">
      <sharedItems containsSemiMixedTypes="0" containsString="0" containsNumber="1" minValue="2" maxValue="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788660532409" createdVersion="8" refreshedVersion="8" minRefreshableVersion="3" recordCount="89" xr:uid="{731E0BDE-7E94-43CF-9496-4B251ABA65F1}">
  <cacheSource type="worksheet">
    <worksheetSource ref="F5:I94" sheet="q3"/>
  </cacheSource>
  <cacheFields count="4">
    <cacheField name="CustomerID" numFmtId="0">
      <sharedItems/>
    </cacheField>
    <cacheField name="CategoryName" numFmtId="0">
      <sharedItems count="7">
        <s v="Seafood"/>
        <s v="Dairy Products"/>
        <s v="Beverages"/>
        <s v="Confections"/>
        <s v="Condiments"/>
        <s v="Grains/Cereals"/>
        <s v="Meat/Poultry"/>
      </sharedItems>
    </cacheField>
    <cacheField name=" total_count" numFmtId="0">
      <sharedItems containsSemiMixedTypes="0" containsString="0" containsNumber="1" containsInteger="1" minValue="1" maxValue="20"/>
    </cacheField>
    <cacheField name=" rn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796392476848" createdVersion="8" refreshedVersion="8" minRefreshableVersion="3" recordCount="249" xr:uid="{FFD09AC5-649B-40BC-A8A4-0827961903BA}">
  <cacheSource type="worksheet">
    <worksheetSource ref="F3:L252" sheet="q4"/>
  </cacheSource>
  <cacheFields count="7">
    <cacheField name="analysis_type" numFmtId="0">
      <sharedItems count="3">
        <s v="Category"/>
        <s v="Location_Category"/>
        <s v="Product"/>
      </sharedItems>
    </cacheField>
    <cacheField name="name" numFmtId="0">
      <sharedItems/>
    </cacheField>
    <cacheField name="location" numFmtId="0">
      <sharedItems containsBlank="1"/>
    </cacheField>
    <cacheField name="total_revenue" numFmtId="0">
      <sharedItems containsSemiMixedTypes="0" containsString="0" containsNumber="1" minValue="22.35" maxValue="286526.95"/>
    </cacheField>
    <cacheField name="total_quantity" numFmtId="0">
      <sharedItems containsSemiMixedTypes="0" containsString="0" containsNumber="1" containsInteger="1" minValue="3" maxValue="9532"/>
    </cacheField>
    <cacheField name="total_orders" numFmtId="0">
      <sharedItems containsString="0" containsBlank="1" containsNumber="1" containsInteger="1" minValue="0" maxValue="49"/>
    </cacheField>
    <cacheField name="contribution_percent" numFmtId="0">
      <sharedItems containsSemiMixedTypes="0" containsString="0" containsNumber="1" minValue="0" maxValue="21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10499652776" createdVersion="8" refreshedVersion="8" minRefreshableVersion="3" recordCount="63" xr:uid="{92AC73C0-7997-43BA-A023-784602BDBA36}">
  <cacheSource type="worksheet">
    <worksheetSource ref="E2:L65" sheet="q5"/>
  </cacheSource>
  <cacheFields count="8">
    <cacheField name="country" numFmtId="0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city" numFmtId="0">
      <sharedItems count="29">
        <s v="Buenos Aires"/>
        <s v="Graz"/>
        <s v="Charleroi"/>
        <s v="Rio de Janeiro"/>
        <s v="MontrÃ©al"/>
        <s v="Ã…rhus"/>
        <s v="Oulu"/>
        <s v="Lyon"/>
        <s v="Marseille"/>
        <s v="Toulouse"/>
        <s v="Cunewalde"/>
        <s v="KÃ¶ln"/>
        <s v="Cork"/>
        <s v="Bergamo"/>
        <s v="Reggio Emilia"/>
        <s v="MÃ©xico D.F."/>
        <s v="Stavern"/>
        <s v="Warszawa"/>
        <s v="Lisboa"/>
        <s v="Madrid"/>
        <s v="Sevilla"/>
        <s v="BrÃ¤cke"/>
        <s v="Bern"/>
        <s v="GenÃ¨ve"/>
        <s v="London"/>
        <s v="Albuquerque"/>
        <s v="Boise"/>
        <s v="I. de Margarita"/>
        <s v="San CristÃ³bal"/>
      </sharedItems>
    </cacheField>
    <cacheField name="CategoryName" numFmtId="0">
      <sharedItems count="8">
        <s v="Beverages"/>
        <s v="Confections"/>
        <s v="Dairy Products"/>
        <s v="Meat/Poultry"/>
        <s v="Condiments"/>
        <s v="Grains/Cereals"/>
        <s v="Produce"/>
        <s v="Seafood"/>
      </sharedItems>
    </cacheField>
    <cacheField name="ProductID" numFmtId="0">
      <sharedItems containsSemiMixedTypes="0" containsString="0" containsNumber="1" containsInteger="1" minValue="2" maxValue="77" count="42">
        <n v="34"/>
        <n v="20"/>
        <n v="21"/>
        <n v="24"/>
        <n v="31"/>
        <n v="17"/>
        <n v="43"/>
        <n v="70"/>
        <n v="77"/>
        <n v="65"/>
        <n v="19"/>
        <n v="62"/>
        <n v="68"/>
        <n v="64"/>
        <n v="71"/>
        <n v="53"/>
        <n v="14"/>
        <n v="10"/>
        <n v="16"/>
        <n v="36"/>
        <n v="60"/>
        <n v="42"/>
        <n v="41"/>
        <n v="59"/>
        <n v="29"/>
        <n v="4"/>
        <n v="52"/>
        <n v="44"/>
        <n v="11"/>
        <n v="35"/>
        <n v="38"/>
        <n v="2"/>
        <n v="61"/>
        <n v="56"/>
        <n v="57"/>
        <n v="30"/>
        <n v="75"/>
        <n v="51"/>
        <n v="74"/>
        <n v="26"/>
        <n v="13"/>
        <n v="69"/>
      </sharedItems>
    </cacheField>
    <cacheField name="order_count" numFmtId="0">
      <sharedItems containsSemiMixedTypes="0" containsString="0" containsNumber="1" containsInteger="1" minValue="1" maxValue="5"/>
    </cacheField>
    <cacheField name="city_rank" numFmtId="0">
      <sharedItems containsSemiMixedTypes="0" containsString="0" containsNumber="1" containsInteger="1" minValue="1" maxValue="3" count="3">
        <n v="3"/>
        <n v="1"/>
        <n v="2"/>
      </sharedItems>
    </cacheField>
    <cacheField name="category_rank" numFmtId="0">
      <sharedItems containsSemiMixedTypes="0" containsString="0" containsNumber="1" containsInteger="1" minValue="1" maxValue="3" count="3">
        <n v="3"/>
        <n v="1"/>
        <n v="2"/>
      </sharedItems>
    </cacheField>
    <cacheField name="product_rank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19783333332" createdVersion="8" refreshedVersion="8" minRefreshableVersion="3" recordCount="7" xr:uid="{759DEE4D-AD5C-4466-8A81-0CD6C4249FDF}">
  <cacheSource type="worksheet">
    <worksheetSource ref="D3:G10" sheet="q6"/>
  </cacheSource>
  <cacheFields count="4">
    <cacheField name="country" numFmtId="0">
      <sharedItems count="2">
        <s v="UK"/>
        <s v="USA"/>
      </sharedItems>
    </cacheField>
    <cacheField name="city" numFmtId="0">
      <sharedItems count="5">
        <s v="London"/>
        <s v="Kirkland"/>
        <s v="Redmond"/>
        <s v="Seattle"/>
        <s v="Tacoma"/>
      </sharedItems>
    </cacheField>
    <cacheField name="title" numFmtId="0">
      <sharedItems count="4">
        <s v="Sales Representative"/>
        <s v="Sales Manager"/>
        <s v="Inside Sales Coordinator"/>
        <s v="Vice President Sales"/>
      </sharedItems>
    </cacheField>
    <cacheField name="total_employee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25061574076" createdVersion="8" refreshedVersion="8" minRefreshableVersion="3" recordCount="6" xr:uid="{0575884E-3E5B-4D0D-B45F-436A83152A8A}">
  <cacheSource type="worksheet">
    <worksheetSource ref="C5:E11" sheet="q7"/>
  </cacheSource>
  <cacheFields count="3">
    <cacheField name="hire_year" numFmtId="0">
      <sharedItems containsSemiMixedTypes="0" containsString="0" containsNumber="1" containsInteger="1" minValue="1992" maxValue="1994" count="3">
        <n v="1992"/>
        <n v="1993"/>
        <n v="1994"/>
      </sharedItems>
    </cacheField>
    <cacheField name="title" numFmtId="0">
      <sharedItems count="4">
        <s v="Sales Representative"/>
        <s v="Vice President Sales"/>
        <s v="Sales Manager"/>
        <s v="Inside Sales Coordinator"/>
      </sharedItems>
    </cacheField>
    <cacheField name="total_hire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30196875002" createdVersion="8" refreshedVersion="8" minRefreshableVersion="3" recordCount="6" xr:uid="{E24FAD63-0D00-4AF9-88CC-44C638B426EE}">
  <cacheSource type="worksheet">
    <worksheetSource ref="C4:E10" sheet="q8"/>
  </cacheSource>
  <cacheFields count="3">
    <cacheField name="Title" numFmtId="0">
      <sharedItems count="4">
        <s v="Inside Sales Coordinator"/>
        <s v="Sales Manager"/>
        <s v="Sales Representative"/>
        <s v="Vice President Sales"/>
      </sharedItems>
    </cacheField>
    <cacheField name="TitleOfCourtesy" numFmtId="0">
      <sharedItems count="4">
        <s v="Ms."/>
        <s v="Mr."/>
        <s v="Mrs."/>
        <s v="Dr."/>
      </sharedItems>
    </cacheField>
    <cacheField name="total_employees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34054976855" createdVersion="8" refreshedVersion="8" minRefreshableVersion="3" recordCount="77" xr:uid="{993B1AE5-235F-48EA-A30D-3B5709AA89BD}">
  <cacheSource type="worksheet">
    <worksheetSource ref="D6:I83" sheet="q9"/>
  </cacheSource>
  <cacheFields count="6">
    <cacheField name="ProductID" numFmtId="0">
      <sharedItems containsSemiMixedTypes="0" containsString="0" containsNumber="1" containsInteger="1" minValue="1" maxValue="77" count="77">
        <n v="38"/>
        <n v="29"/>
        <n v="59"/>
        <n v="60"/>
        <n v="62"/>
        <n v="56"/>
        <n v="51"/>
        <n v="17"/>
        <n v="18"/>
        <n v="28"/>
        <n v="72"/>
        <n v="43"/>
        <n v="69"/>
        <n v="20"/>
        <n v="64"/>
        <n v="7"/>
        <n v="10"/>
        <n v="26"/>
        <n v="53"/>
        <n v="71"/>
        <n v="55"/>
        <n v="40"/>
        <n v="16"/>
        <n v="2"/>
        <n v="63"/>
        <n v="76"/>
        <n v="61"/>
        <n v="31"/>
        <n v="27"/>
        <n v="30"/>
        <n v="65"/>
        <n v="36"/>
        <n v="35"/>
        <n v="1"/>
        <n v="11"/>
        <n v="8"/>
        <n v="39"/>
        <n v="12"/>
        <n v="70"/>
        <n v="44"/>
        <n v="77"/>
        <n v="21"/>
        <n v="49"/>
        <n v="4"/>
        <n v="68"/>
        <n v="42"/>
        <n v="32"/>
        <n v="41"/>
        <n v="9"/>
        <n v="75"/>
        <n v="14"/>
        <n v="57"/>
        <n v="6"/>
        <n v="22"/>
        <n v="34"/>
        <n v="58"/>
        <n v="19"/>
        <n v="46"/>
        <n v="5"/>
        <n v="13"/>
        <n v="54"/>
        <n v="23"/>
        <n v="24"/>
        <n v="45"/>
        <n v="47"/>
        <n v="73"/>
        <n v="25"/>
        <n v="66"/>
        <n v="50"/>
        <n v="52"/>
        <n v="3"/>
        <n v="37"/>
        <n v="74"/>
        <n v="67"/>
        <n v="15"/>
        <n v="33"/>
        <n v="48"/>
      </sharedItems>
    </cacheField>
    <cacheField name="ProductName" numFmtId="0">
      <sharedItems count="77">
        <s v="CÃ´te de Blaye"/>
        <s v="ThÃ¼ringer Rostbratwurst"/>
        <s v="Raclette Courdavault"/>
        <s v="Camembert Pierrot"/>
        <s v="Tarte au sucre"/>
        <s v="Gnocchi di nonna Alice"/>
        <s v="Manjimup Dried Apples"/>
        <s v="Alice Mutton"/>
        <s v="Carnarvon Tigers"/>
        <s v="RÃ¶ssle Sauerkraut"/>
        <s v="Mozzarella di Giovanni"/>
        <s v="Ipoh Coffee"/>
        <s v="Gudbrandsdalsost"/>
        <s v="Sir Rodney's Marmalade"/>
        <s v="Wimmers gute SemmelknÃ¶del"/>
        <s v="Uncle Bob's Organic Dried Pears"/>
        <s v="Ikura"/>
        <s v="GumbÃ¤r GummibÃ¤rchen"/>
        <s v="Perth Pasties"/>
        <s v="FlÃ¸temysost"/>
        <s v="PÃ¢tÃ© chinois"/>
        <s v="Boston Crab Meat"/>
        <s v="Pavlova"/>
        <s v="Chang"/>
        <s v="Vegie-spread"/>
        <s v="LakkalikÃ¶Ã¶ri"/>
        <s v="Sirop d'Ã©rable"/>
        <s v="Gorgonzola Telino"/>
        <s v="Schoggi Schokolade"/>
        <s v="Nord-Ost Matjeshering"/>
        <s v="Louisiana Fiery Hot Pepper Sauce"/>
        <s v="Inlagd Sill"/>
        <s v="Steeleye Stout"/>
        <s v="Chai"/>
        <s v="Queso Cabrales"/>
        <s v="Northwoods Cranberry Sauce"/>
        <s v="Chartreuse verte"/>
        <s v="Queso Manchego La Pastora"/>
        <s v="Outback Lager"/>
        <s v="Gula Malacca"/>
        <s v="Original Frankfurter grÃ¼ne SoÃŸe"/>
        <s v="Sir Rodney's Scones"/>
        <s v="Maxilaku"/>
        <s v="Chef Anton's Cajun Seasoning"/>
        <s v="Scottish Longbreads"/>
        <s v="Singaporean Hokkien Fried Mee"/>
        <s v="Mascarpone Fabioli"/>
        <s v="Jack's New England Clam Chowder"/>
        <s v="Mishi Kobe Niku"/>
        <s v="RhÃ¶nbrÃ¤u Klosterbier"/>
        <s v="Tofu"/>
        <s v="Ravioli Angelo"/>
        <s v="Grandma's Boysenberry Spread"/>
        <s v="Gustaf's KnÃ¤ckebrÃ¶d"/>
        <s v="Sasquatch Ale"/>
        <s v="Escargots de Bourgogne"/>
        <s v="Teatime Chocolate Biscuits"/>
        <s v="Spegesild"/>
        <s v="Chef Anton's Gumbo Mix"/>
        <s v="Konbu"/>
        <s v="TourtiÃ¨re"/>
        <s v="TunnbrÃ¶d"/>
        <s v="GuaranÃ¡ FantÃ¡stica"/>
        <s v="RÃ¸gede sild"/>
        <s v="Zaanse koeken"/>
        <s v="RÃ¶d Kaviar"/>
        <s v="NuNuCa NuÃŸ-Nougat-Creme"/>
        <s v="Louisiana Hot Spiced Okra"/>
        <s v="Valkoinen suklaa"/>
        <s v="Filo Mix"/>
        <s v="Aniseed Syrup"/>
        <s v="Gravad lax"/>
        <s v="Longlife Tofu"/>
        <s v="Laughing Lumberjack Lager"/>
        <s v="Genen Shouyu"/>
        <s v="Geitost"/>
        <s v="Chocolade"/>
      </sharedItems>
    </cacheField>
    <cacheField name="price" numFmtId="0">
      <sharedItems containsSemiMixedTypes="0" containsString="0" containsNumber="1" minValue="2.5" maxValue="263.5"/>
    </cacheField>
    <cacheField name="stock" numFmtId="0">
      <sharedItems containsSemiMixedTypes="0" containsString="0" containsNumber="1" containsInteger="1" minValue="0" maxValue="125"/>
    </cacheField>
    <cacheField name="total_quantity_sold" numFmtId="0">
      <sharedItems containsSemiMixedTypes="0" containsString="0" containsNumber="1" containsInteger="1" minValue="95" maxValue="1577"/>
    </cacheField>
    <cacheField name="total_revenue" numFmtId="0">
      <sharedItems containsSemiMixedTypes="0" containsString="0" containsNumber="1" minValue="1542.75" maxValue="149984.2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38677546293" createdVersion="8" refreshedVersion="8" minRefreshableVersion="3" recordCount="1000" xr:uid="{633AEFC1-7FF4-4D0E-BFA4-3ED670090284}">
  <cacheSource type="worksheet">
    <worksheetSource ref="D5:G1005" sheet="q10"/>
  </cacheSource>
  <cacheFields count="4">
    <cacheField name="year" numFmtId="0">
      <sharedItems containsSemiMixedTypes="0" containsString="0" containsNumber="1" containsInteger="1" minValue="1994" maxValue="1996" count="3">
        <n v="1994"/>
        <n v="1995"/>
        <n v="1996"/>
      </sharedItems>
    </cacheField>
    <cacheField name="month 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productname" numFmtId="0">
      <sharedItems count="77">
        <s v="Chang"/>
        <s v="Raclette Courdavault"/>
        <s v="Pavlova"/>
        <s v="Geitost"/>
        <s v="Chef Anton's Gumbo Mix"/>
        <s v="Manjimup Dried Apples"/>
        <s v="Ravioli Angelo"/>
        <s v="Nord-Ost Matjeshering"/>
        <s v="Longlife Tofu"/>
        <s v="Jack's New England Clam Chowder"/>
        <s v="Boston Crab Meat"/>
        <s v="Chartreuse verte"/>
        <s v="GuaranÃ¡ FantÃ¡stica"/>
        <s v="Outback Lager"/>
        <s v="Camembert Pierrot"/>
        <s v="Sir Rodney's Marmalade"/>
        <s v="Maxilaku"/>
        <s v="Louisiana Fiery Hot Pepper Sauce"/>
        <s v="Sir Rodney's Scones"/>
        <s v="Alice Mutton"/>
        <s v="Mozzarella di Giovanni"/>
        <s v="Original Frankfurter grÃ¼ne SoÃŸe"/>
        <s v="Inlagd Sill"/>
        <s v="Schoggi Schokolade"/>
        <s v="PÃ¢tÃ© chinois"/>
        <s v="Gorgonzola Telino"/>
        <s v="Steeleye Stout"/>
        <s v="Perth Pasties"/>
        <s v="Tarte au sucre"/>
        <s v="Uncle Bob's Organic Dried Pears"/>
        <s v="LakkalikÃ¶Ã¶ri"/>
        <s v="Queso Cabrales"/>
        <s v="Queso Manchego La Pastora"/>
        <s v="Singaporean Hokkien Fried Mee"/>
        <s v="ThÃ¼ringer Rostbratwurst"/>
        <s v="Tofu"/>
        <s v="Gustaf's KnÃ¤ckebrÃ¶d"/>
        <s v="Mascarpone Fabioli"/>
        <s v="Gnocchi di nonna Alice"/>
        <s v="Gravad lax"/>
        <s v="Chai"/>
        <s v="Gula Malacca"/>
        <s v="RhÃ¶nbrÃ¤u Klosterbier"/>
        <s v="Ipoh Coffee"/>
        <s v="Ikura"/>
        <s v="Konbu"/>
        <s v="Aniseed Syrup"/>
        <s v="RÃ¶d Kaviar"/>
        <s v="FlÃ¸temysost"/>
        <s v="RÃ¶ssle Sauerkraut"/>
        <s v="Genen Shouyu"/>
        <s v="Sasquatch Ale"/>
        <s v="Teatime Chocolate Biscuits"/>
        <s v="Spegesild"/>
        <s v="Vegie-spread"/>
        <s v="Carnarvon Tigers"/>
        <s v="TourtiÃ¨re"/>
        <s v="Wimmers gute SemmelknÃ¶del"/>
        <s v="Laughing Lumberjack Lager"/>
        <s v="Scottish Longbreads"/>
        <s v="Louisiana Hot Spiced Okra"/>
        <s v="Grandma's Boysenberry Spread"/>
        <s v="Escargots de Bourgogne"/>
        <s v="Gudbrandsdalsost"/>
        <s v="Chef Anton's Cajun Seasoning"/>
        <s v="GumbÃ¤r GummibÃ¤rchen"/>
        <s v="TunnbrÃ¶d"/>
        <s v="Filo Mix"/>
        <s v="CÃ´te de Blaye"/>
        <s v="Zaanse koeken"/>
        <s v="NuNuCa NuÃŸ-Nougat-Creme"/>
        <s v="Northwoods Cranberry Sauce"/>
        <s v="Valkoinen suklaa"/>
        <s v="RÃ¸gede sild"/>
        <s v="Chocolade"/>
        <s v="Mishi Kobe Niku"/>
        <s v="Sirop d'Ã©rable"/>
      </sharedItems>
    </cacheField>
    <cacheField name="total_quantity" numFmtId="0">
      <sharedItems containsSemiMixedTypes="0" containsString="0" containsNumber="1" containsInteger="1" minValue="1" maxValue="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8273715278" createdVersion="8" refreshedVersion="8" minRefreshableVersion="3" recordCount="77" xr:uid="{844FAC2F-1464-4B20-9CBB-6C13149AC41B}">
  <cacheSource type="worksheet">
    <worksheetSource ref="D4:G81" sheet="q11"/>
  </cacheSource>
  <cacheFields count="4">
    <cacheField name="productname" numFmtId="0">
      <sharedItems count="77">
        <s v="CÃ´te de Blaye"/>
        <s v="ThÃ¼ringer Rostbratwurst"/>
        <s v="Raclette Courdavault"/>
        <s v="Camembert Pierrot"/>
        <s v="Tarte au sucre"/>
        <s v="Gnocchi di nonna Alice"/>
        <s v="Manjimup Dried Apples"/>
        <s v="Alice Mutton"/>
        <s v="Carnarvon Tigers"/>
        <s v="RÃ¶ssle Sauerkraut"/>
        <s v="Mozzarella di Giovanni"/>
        <s v="Ipoh Coffee"/>
        <s v="Gudbrandsdalsost"/>
        <s v="Sir Rodney's Marmalade"/>
        <s v="Wimmers gute SemmelknÃ¶del"/>
        <s v="Uncle Bob's Organic Dried Pears"/>
        <s v="Ikura"/>
        <s v="GumbÃ¤r GummibÃ¤rchen"/>
        <s v="Perth Pasties"/>
        <s v="FlÃ¸temysost"/>
        <s v="PÃ¢tÃ© chinois"/>
        <s v="Boston Crab Meat"/>
        <s v="Pavlova"/>
        <s v="Chang"/>
        <s v="Vegie-spread"/>
        <s v="LakkalikÃ¶Ã¶ri"/>
        <s v="Sirop d'Ã©rable"/>
        <s v="Gorgonzola Telino"/>
        <s v="Schoggi Schokolade"/>
        <s v="Nord-Ost Matjeshering"/>
        <s v="Louisiana Fiery Hot Pepper Sauce"/>
        <s v="Inlagd Sill"/>
        <s v="Steeleye Stout"/>
        <s v="Chai"/>
        <s v="Queso Cabrales"/>
        <s v="Northwoods Cranberry Sauce"/>
        <s v="Chartreuse verte"/>
        <s v="Queso Manchego La Pastora"/>
        <s v="Outback Lager"/>
        <s v="Gula Malacca"/>
        <s v="Original Frankfurter grÃ¼ne SoÃŸe"/>
        <s v="Sir Rodney's Scones"/>
        <s v="Maxilaku"/>
        <s v="Chef Anton's Cajun Seasoning"/>
        <s v="Scottish Longbreads"/>
        <s v="Singaporean Hokkien Fried Mee"/>
        <s v="Mascarpone Fabioli"/>
        <s v="Jack's New England Clam Chowder"/>
        <s v="Mishi Kobe Niku"/>
        <s v="RhÃ¶nbrÃ¤u Klosterbier"/>
        <s v="Tofu"/>
        <s v="Ravioli Angelo"/>
        <s v="Grandma's Boysenberry Spread"/>
        <s v="Gustaf's KnÃ¤ckebrÃ¶d"/>
        <s v="Sasquatch Ale"/>
        <s v="Escargots de Bourgogne"/>
        <s v="Teatime Chocolate Biscuits"/>
        <s v="Spegesild"/>
        <s v="Chef Anton's Gumbo Mix"/>
        <s v="Konbu"/>
        <s v="TourtiÃ¨re"/>
        <s v="TunnbrÃ¶d"/>
        <s v="GuaranÃ¡ FantÃ¡stica"/>
        <s v="RÃ¸gede sild"/>
        <s v="Zaanse koeken"/>
        <s v="RÃ¶d Kaviar"/>
        <s v="NuNuCa NuÃŸ-Nougat-Creme"/>
        <s v="Louisiana Hot Spiced Okra"/>
        <s v="Valkoinen suklaa"/>
        <s v="Filo Mix"/>
        <s v="Aniseed Syrup"/>
        <s v="Gravad lax"/>
        <s v="Longlife Tofu"/>
        <s v="Laughing Lumberjack Lager"/>
        <s v="Genen Shouyu"/>
        <s v="Geitost"/>
        <s v="Chocolade"/>
      </sharedItems>
    </cacheField>
    <cacheField name="revenue" numFmtId="0">
      <sharedItems containsSemiMixedTypes="0" containsString="0" containsNumber="1" minValue="1542.75" maxValue="149984.20000000001"/>
    </cacheField>
    <cacheField name="avg_revenue" numFmtId="0">
      <sharedItems containsSemiMixedTypes="0" containsString="0" containsNumber="1" minValue="17590.37" maxValue="17590.37" count="1">
        <n v="17590.37"/>
      </sharedItems>
    </cacheField>
    <cacheField name="anomaly" numFmtId="0">
      <sharedItems count="3">
        <s v="High Anomaly"/>
        <s v="Normal"/>
        <s v="Low Anoma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86724884258" createdVersion="8" refreshedVersion="8" minRefreshableVersion="3" recordCount="17" xr:uid="{D6B37F10-956E-4D0D-85AB-77A830902A2E}">
  <cacheSource type="worksheet">
    <worksheetSource ref="D4:F21" sheet="q12"/>
  </cacheSource>
  <cacheFields count="3">
    <cacheField name="country" numFmtId="0">
      <sharedItems count="16">
        <s v="France"/>
        <s v="Germany"/>
        <s v="Australia"/>
        <s v="Japan"/>
        <s v="Spain"/>
        <s v="Italy"/>
        <s v="Canada"/>
        <s v="Singapore"/>
        <s v="UK"/>
        <s v="USA"/>
        <s v="Norway"/>
        <s v="Sweden"/>
        <s v="Finland"/>
        <s v="Netherlands"/>
        <s v="Denmark"/>
        <s v="Brazil"/>
      </sharedItems>
    </cacheField>
    <cacheField name="total_suppliers" numFmtId="0">
      <sharedItems containsSemiMixedTypes="0" containsString="0" containsNumber="1" containsInteger="1" minValue="1" maxValue="4"/>
    </cacheField>
    <cacheField name="avg_price" numFmtId="0">
      <sharedItems containsSemiMixedTypes="0" containsString="0" containsNumber="1" minValue="4.5" maxValue="76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89672916666" createdVersion="8" refreshedVersion="8" minRefreshableVersion="3" recordCount="8" xr:uid="{A0280DBB-DD8F-4008-A113-C5CFF226DC26}">
  <cacheSource type="worksheet">
    <worksheetSource ref="D3:E11" sheet="q13"/>
  </cacheSource>
  <cacheFields count="2">
    <cacheField name="CategoryName" numFmtId="0">
      <sharedItems count="8">
        <s v="Beverages"/>
        <s v="Condiments"/>
        <s v="Seafood"/>
        <s v="Confections"/>
        <s v="Grains/Cereals"/>
        <s v="Meat/Poultry"/>
        <s v="Produce"/>
        <s v="Dairy Products"/>
      </sharedItems>
    </cacheField>
    <cacheField name="total_suppliers" numFmtId="0">
      <sharedItems containsSemiMixedTypes="0" containsString="0" containsNumber="1" containsInteger="1" minValue="4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u nitish" refreshedDate="46113.892230902777" createdVersion="8" refreshedVersion="8" minRefreshableVersion="3" recordCount="45" xr:uid="{3430E062-3175-4C47-A06F-7A899A658DDA}">
  <cacheSource type="worksheet">
    <worksheetSource ref="D3:F48" sheet="q14"/>
  </cacheSource>
  <cacheFields count="3">
    <cacheField name="country" numFmtId="0">
      <sharedItems count="16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UK"/>
        <s v="USA"/>
      </sharedItems>
    </cacheField>
    <cacheField name="categoryname" numFmtId="0">
      <sharedItems count="8">
        <s v="Seafood"/>
        <s v="Produce"/>
        <s v="Condiments"/>
        <s v="Meat/Poultry"/>
        <s v="Confections"/>
        <s v="Beverages"/>
        <s v="Grains/Cereals"/>
        <s v="Dairy Products"/>
      </sharedItems>
    </cacheField>
    <cacheField name="avg_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ERNSH"/>
    <n v="92"/>
    <n v="96365.18"/>
    <s v="Repeat"/>
    <x v="0"/>
    <s v="High Value Repeat"/>
  </r>
  <r>
    <s v="HUNGO"/>
    <n v="52"/>
    <n v="55871.89"/>
    <s v="Repeat"/>
    <x v="0"/>
    <s v="High Value Repeat"/>
  </r>
  <r>
    <s v="QUICK"/>
    <n v="81"/>
    <n v="110541.9"/>
    <s v="Repeat"/>
    <x v="0"/>
    <s v="High Value Repeat"/>
  </r>
  <r>
    <s v="RATTC"/>
    <n v="46"/>
    <n v="50871.3"/>
    <s v="Repeat"/>
    <x v="0"/>
    <s v="High Value Repeat"/>
  </r>
  <r>
    <s v="SAVEA"/>
    <n v="102"/>
    <n v="92235.69"/>
    <s v="Repeat"/>
    <x v="0"/>
    <s v="High Value Repea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n v="1"/>
    <n v="81"/>
    <n v="110541.9"/>
    <n v="4094.14"/>
    <n v="81"/>
  </r>
  <r>
    <x v="1"/>
    <x v="1"/>
    <n v="1"/>
    <n v="92"/>
    <n v="96365.18"/>
    <n v="3569.08"/>
    <n v="92"/>
  </r>
  <r>
    <x v="2"/>
    <x v="2"/>
    <n v="1"/>
    <n v="102"/>
    <n v="92235.69"/>
    <n v="3294.13"/>
    <n v="102"/>
  </r>
  <r>
    <x v="3"/>
    <x v="3"/>
    <n v="1"/>
    <n v="52"/>
    <n v="55871.89"/>
    <n v="3103.99"/>
    <n v="52"/>
  </r>
  <r>
    <x v="2"/>
    <x v="4"/>
    <n v="1"/>
    <n v="46"/>
    <n v="50871.3"/>
    <n v="2992.43"/>
    <n v="46"/>
  </r>
  <r>
    <x v="4"/>
    <x v="5"/>
    <n v="1"/>
    <n v="32"/>
    <n v="32203.9"/>
    <n v="2477.2199999999998"/>
    <n v="32"/>
  </r>
  <r>
    <x v="5"/>
    <x v="6"/>
    <n v="1"/>
    <n v="44"/>
    <n v="31655.55"/>
    <n v="1758.64"/>
    <n v="44"/>
  </r>
  <r>
    <x v="0"/>
    <x v="7"/>
    <n v="1"/>
    <n v="37"/>
    <n v="29585.75"/>
    <n v="2275.83"/>
    <n v="37"/>
  </r>
  <r>
    <x v="5"/>
    <x v="8"/>
    <n v="1"/>
    <n v="52"/>
    <n v="26968.15"/>
    <n v="1498.23"/>
    <n v="52"/>
  </r>
  <r>
    <x v="0"/>
    <x v="9"/>
    <n v="1"/>
    <n v="45"/>
    <n v="25748.71"/>
    <n v="1839.19"/>
    <n v="45"/>
  </r>
  <r>
    <x v="6"/>
    <x v="10"/>
    <n v="1"/>
    <n v="41"/>
    <n v="22793.95"/>
    <n v="1424.62"/>
    <n v="41"/>
  </r>
  <r>
    <x v="1"/>
    <x v="11"/>
    <n v="1"/>
    <n v="20"/>
    <n v="22601.200000000001"/>
    <n v="2511.2399999999998"/>
    <n v="20"/>
  </r>
  <r>
    <x v="7"/>
    <x v="12"/>
    <n v="1"/>
    <n v="32"/>
    <n v="22198.9"/>
    <n v="2219.89"/>
    <n v="32"/>
  </r>
  <r>
    <x v="8"/>
    <x v="13"/>
    <n v="1"/>
    <n v="41"/>
    <n v="21884.080000000002"/>
    <n v="1287.3"/>
    <n v="41"/>
  </r>
  <r>
    <x v="4"/>
    <x v="14"/>
    <n v="1"/>
    <n v="30"/>
    <n v="19602.900000000001"/>
    <n v="1782.08"/>
    <n v="30"/>
  </r>
  <r>
    <x v="0"/>
    <x v="15"/>
    <n v="1"/>
    <n v="35"/>
    <n v="19408.52"/>
    <n v="1386.32"/>
    <n v="35"/>
  </r>
  <r>
    <x v="2"/>
    <x v="16"/>
    <n v="1"/>
    <n v="34"/>
    <n v="19242.2"/>
    <n v="1603.52"/>
    <n v="34"/>
  </r>
  <r>
    <x v="6"/>
    <x v="17"/>
    <n v="1"/>
    <n v="26"/>
    <n v="19088"/>
    <n v="1735.27"/>
    <n v="26"/>
  </r>
  <r>
    <x v="2"/>
    <x v="18"/>
    <n v="1"/>
    <n v="20"/>
    <n v="19001.13"/>
    <n v="2111.2399999999998"/>
    <n v="20"/>
  </r>
  <r>
    <x v="9"/>
    <x v="19"/>
    <n v="1"/>
    <n v="14"/>
    <n v="17894.150000000001"/>
    <n v="2982.36"/>
    <n v="14"/>
  </r>
  <r>
    <x v="8"/>
    <x v="20"/>
    <n v="1"/>
    <n v="30"/>
    <n v="17062.5"/>
    <n v="1421.88"/>
    <n v="30"/>
  </r>
  <r>
    <x v="9"/>
    <x v="21"/>
    <n v="1"/>
    <n v="31"/>
    <n v="16643.8"/>
    <n v="1513.07"/>
    <n v="31"/>
  </r>
  <r>
    <x v="10"/>
    <x v="22"/>
    <n v="1"/>
    <n v="35"/>
    <n v="16317.1"/>
    <n v="1165.51"/>
    <n v="35"/>
  </r>
  <r>
    <x v="11"/>
    <x v="23"/>
    <n v="1"/>
    <n v="25"/>
    <n v="15855.2"/>
    <n v="1981.9"/>
    <n v="25"/>
  </r>
  <r>
    <x v="2"/>
    <x v="24"/>
    <n v="1"/>
    <n v="21"/>
    <n v="15770.75"/>
    <n v="1752.31"/>
    <n v="21"/>
  </r>
  <r>
    <x v="8"/>
    <x v="25"/>
    <n v="1"/>
    <n v="30"/>
    <n v="14529.35"/>
    <n v="1452.94"/>
    <n v="30"/>
  </r>
  <r>
    <x v="2"/>
    <x v="26"/>
    <n v="1"/>
    <n v="20"/>
    <n v="12489.7"/>
    <n v="1387.74"/>
    <n v="20"/>
  </r>
  <r>
    <x v="0"/>
    <x v="27"/>
    <n v="1"/>
    <n v="28"/>
    <n v="12413.5"/>
    <n v="1379.28"/>
    <n v="28"/>
  </r>
  <r>
    <x v="6"/>
    <x v="28"/>
    <n v="1"/>
    <n v="16"/>
    <n v="11666.9"/>
    <n v="2333.38"/>
    <n v="16"/>
  </r>
  <r>
    <x v="12"/>
    <x v="29"/>
    <n v="1"/>
    <n v="22"/>
    <n v="11068.1"/>
    <n v="1383.51"/>
    <n v="22"/>
  </r>
  <r>
    <x v="7"/>
    <x v="30"/>
    <n v="1"/>
    <n v="17"/>
    <n v="10430.58"/>
    <n v="1490.08"/>
    <n v="17"/>
  </r>
  <r>
    <x v="6"/>
    <x v="31"/>
    <n v="1"/>
    <n v="30"/>
    <n v="10227.35"/>
    <n v="786.72"/>
    <n v="30"/>
  </r>
  <r>
    <x v="6"/>
    <x v="32"/>
    <n v="1"/>
    <n v="25"/>
    <n v="9937.1"/>
    <n v="993.71"/>
    <n v="25"/>
  </r>
  <r>
    <x v="11"/>
    <x v="33"/>
    <n v="1"/>
    <n v="18"/>
    <n v="9712.5"/>
    <n v="1618.75"/>
    <n v="18"/>
  </r>
  <r>
    <x v="0"/>
    <x v="34"/>
    <n v="1"/>
    <n v="23"/>
    <n v="9089.85"/>
    <n v="1009.98"/>
    <n v="23"/>
  </r>
  <r>
    <x v="13"/>
    <x v="35"/>
    <n v="1"/>
    <n v="17"/>
    <n v="8360.23"/>
    <n v="1045.03"/>
    <n v="17"/>
  </r>
  <r>
    <x v="14"/>
    <x v="36"/>
    <n v="1"/>
    <n v="21"/>
    <n v="7603.85"/>
    <n v="760.38"/>
    <n v="21"/>
  </r>
  <r>
    <x v="13"/>
    <x v="37"/>
    <n v="1"/>
    <n v="19"/>
    <n v="6480.7"/>
    <n v="720.08"/>
    <n v="19"/>
  </r>
  <r>
    <x v="14"/>
    <x v="38"/>
    <n v="1"/>
    <n v="18"/>
    <n v="6402.6"/>
    <n v="640.26"/>
    <n v="18"/>
  </r>
  <r>
    <x v="15"/>
    <x v="39"/>
    <n v="1"/>
    <n v="23"/>
    <n v="6146.3"/>
    <n v="614.63"/>
    <n v="23"/>
  </r>
  <r>
    <x v="16"/>
    <x v="40"/>
    <n v="1"/>
    <n v="14"/>
    <n v="5112.8"/>
    <n v="1022.56"/>
    <n v="14"/>
  </r>
  <r>
    <x v="0"/>
    <x v="41"/>
    <n v="1"/>
    <n v="11"/>
    <n v="5042.2"/>
    <n v="1008.44"/>
    <n v="11"/>
  </r>
  <r>
    <x v="0"/>
    <x v="42"/>
    <n v="1"/>
    <n v="14"/>
    <n v="4954"/>
    <n v="825.67"/>
    <n v="14"/>
  </r>
  <r>
    <x v="0"/>
    <x v="43"/>
    <n v="1"/>
    <n v="10"/>
    <n v="3636.2"/>
    <n v="727.24"/>
    <n v="10"/>
  </r>
  <r>
    <x v="2"/>
    <x v="44"/>
    <n v="1"/>
    <n v="10"/>
    <n v="3490.02"/>
    <n v="872.5"/>
    <n v="10"/>
  </r>
  <r>
    <x v="10"/>
    <x v="45"/>
    <n v="1"/>
    <n v="17"/>
    <n v="3161.35"/>
    <n v="451.62"/>
    <n v="17"/>
  </r>
  <r>
    <x v="2"/>
    <x v="46"/>
    <n v="1"/>
    <n v="9"/>
    <n v="3063.2"/>
    <n v="612.64"/>
    <n v="9"/>
  </r>
  <r>
    <x v="17"/>
    <x v="47"/>
    <n v="1"/>
    <n v="15"/>
    <n v="2940.35"/>
    <n v="490.06"/>
    <n v="15"/>
  </r>
  <r>
    <x v="0"/>
    <x v="48"/>
    <n v="1"/>
    <n v="11"/>
    <n v="2381.8000000000002"/>
    <n v="396.97"/>
    <n v="11"/>
  </r>
  <r>
    <x v="6"/>
    <x v="49"/>
    <n v="1"/>
    <n v="5"/>
    <n v="2213.35"/>
    <n v="737.78"/>
    <n v="5"/>
  </r>
  <r>
    <x v="6"/>
    <x v="50"/>
    <n v="1"/>
    <n v="11"/>
    <n v="1992.05"/>
    <n v="498.01"/>
    <n v="11"/>
  </r>
  <r>
    <x v="0"/>
    <x v="51"/>
    <n v="1"/>
    <n v="7"/>
    <n v="1984.36"/>
    <n v="496.09"/>
    <n v="7"/>
  </r>
  <r>
    <x v="2"/>
    <x v="52"/>
    <n v="1"/>
    <n v="8"/>
    <n v="1947.24"/>
    <n v="649.08000000000004"/>
    <n v="8"/>
  </r>
  <r>
    <x v="2"/>
    <x v="53"/>
    <n v="1"/>
    <n v="9"/>
    <n v="1571.2"/>
    <n v="523.73"/>
    <n v="9"/>
  </r>
  <r>
    <x v="8"/>
    <x v="54"/>
    <n v="1"/>
    <n v="4"/>
    <n v="1488.7"/>
    <n v="744.35"/>
    <n v="4"/>
  </r>
  <r>
    <x v="6"/>
    <x v="55"/>
    <n v="1"/>
    <n v="10"/>
    <n v="1480"/>
    <n v="296"/>
    <n v="10"/>
  </r>
  <r>
    <x v="12"/>
    <x v="56"/>
    <n v="1"/>
    <n v="8"/>
    <n v="836.7"/>
    <n v="167.34"/>
    <n v="8"/>
  </r>
  <r>
    <x v="4"/>
    <x v="57"/>
    <n v="1"/>
    <n v="8"/>
    <n v="522.5"/>
    <n v="174.17"/>
    <n v="8"/>
  </r>
  <r>
    <x v="2"/>
    <x v="58"/>
    <n v="1"/>
    <n v="2"/>
    <n v="357"/>
    <n v="178.5"/>
    <n v="2"/>
  </r>
  <r>
    <x v="14"/>
    <x v="59"/>
    <n v="1"/>
    <n v="6"/>
    <n v="249.7"/>
    <n v="62.42"/>
    <n v="6"/>
  </r>
  <r>
    <x v="18"/>
    <x v="60"/>
    <n v="2"/>
    <n v="30"/>
    <n v="12468.65"/>
    <n v="959.13"/>
    <n v="15"/>
  </r>
  <r>
    <x v="12"/>
    <x v="61"/>
    <n v="2"/>
    <n v="16"/>
    <n v="6404.09"/>
    <n v="914.87"/>
    <n v="8"/>
  </r>
  <r>
    <x v="2"/>
    <x v="62"/>
    <n v="2"/>
    <n v="18"/>
    <n v="6044.6"/>
    <n v="549.51"/>
    <n v="9"/>
  </r>
  <r>
    <x v="6"/>
    <x v="63"/>
    <n v="2"/>
    <n v="15"/>
    <n v="4788.0600000000004"/>
    <n v="684.01"/>
    <n v="7.5"/>
  </r>
  <r>
    <x v="13"/>
    <x v="64"/>
    <n v="3"/>
    <n v="76"/>
    <n v="49094.18"/>
    <n v="1583.68"/>
    <n v="25.33"/>
  </r>
  <r>
    <x v="19"/>
    <x v="65"/>
    <n v="3"/>
    <n v="30"/>
    <n v="7738.1"/>
    <n v="552.72"/>
    <n v="10"/>
  </r>
  <r>
    <x v="13"/>
    <x v="66"/>
    <n v="4"/>
    <n v="77"/>
    <n v="42995.82"/>
    <n v="1482.61"/>
    <n v="19.25"/>
  </r>
  <r>
    <x v="20"/>
    <x v="67"/>
    <n v="5"/>
    <n v="69"/>
    <n v="23413.45"/>
    <n v="900.52"/>
    <n v="13.8"/>
  </r>
  <r>
    <x v="15"/>
    <x v="68"/>
    <n v="6"/>
    <n v="98"/>
    <n v="45636.4"/>
    <n v="1140.9100000000001"/>
    <n v="16.32999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SAVEA"/>
    <x v="0"/>
    <n v="20"/>
    <n v="1"/>
  </r>
  <r>
    <s v="ERNSH"/>
    <x v="1"/>
    <n v="19"/>
    <n v="1"/>
  </r>
  <r>
    <s v="QUICK"/>
    <x v="2"/>
    <n v="18"/>
    <n v="1"/>
  </r>
  <r>
    <s v="BERGS"/>
    <x v="2"/>
    <n v="13"/>
    <n v="1"/>
  </r>
  <r>
    <s v="HUNGO"/>
    <x v="1"/>
    <n v="13"/>
    <n v="1"/>
  </r>
  <r>
    <s v="FOLKO"/>
    <x v="2"/>
    <n v="11"/>
    <n v="1"/>
  </r>
  <r>
    <s v="BONAP"/>
    <x v="0"/>
    <n v="10"/>
    <n v="1"/>
  </r>
  <r>
    <s v="LILAS"/>
    <x v="1"/>
    <n v="10"/>
    <n v="1"/>
  </r>
  <r>
    <s v="HILAA"/>
    <x v="2"/>
    <n v="10"/>
    <n v="1"/>
  </r>
  <r>
    <s v="RATTC"/>
    <x v="1"/>
    <n v="10"/>
    <n v="1"/>
  </r>
  <r>
    <s v="FRANK"/>
    <x v="0"/>
    <n v="10"/>
    <n v="1"/>
  </r>
  <r>
    <s v="LEHMS"/>
    <x v="1"/>
    <n v="9"/>
    <n v="1"/>
  </r>
  <r>
    <s v="KOENE"/>
    <x v="3"/>
    <n v="9"/>
    <n v="1"/>
  </r>
  <r>
    <s v="LAMAI"/>
    <x v="2"/>
    <n v="9"/>
    <n v="1"/>
  </r>
  <r>
    <s v="WARTH"/>
    <x v="1"/>
    <n v="9"/>
    <n v="1"/>
  </r>
  <r>
    <s v="MEREP"/>
    <x v="3"/>
    <n v="8"/>
    <n v="1"/>
  </r>
  <r>
    <s v="TORTU"/>
    <x v="2"/>
    <n v="8"/>
    <n v="1"/>
  </r>
  <r>
    <s v="LINOD"/>
    <x v="3"/>
    <n v="8"/>
    <n v="1"/>
  </r>
  <r>
    <s v="QUEEN"/>
    <x v="3"/>
    <n v="8"/>
    <n v="1"/>
  </r>
  <r>
    <s v="VAFFE"/>
    <x v="4"/>
    <n v="8"/>
    <n v="1"/>
  </r>
  <r>
    <s v="SUPRD"/>
    <x v="2"/>
    <n v="7"/>
    <n v="1"/>
  </r>
  <r>
    <s v="RICSU"/>
    <x v="0"/>
    <n v="7"/>
    <n v="1"/>
  </r>
  <r>
    <s v="BOTTM"/>
    <x v="1"/>
    <n v="7"/>
    <n v="1"/>
  </r>
  <r>
    <s v="RICAR"/>
    <x v="3"/>
    <n v="7"/>
    <n v="1"/>
  </r>
  <r>
    <s v="ISLAT"/>
    <x v="2"/>
    <n v="7"/>
    <n v="1"/>
  </r>
  <r>
    <s v="HANAR"/>
    <x v="0"/>
    <n v="6"/>
    <n v="1"/>
  </r>
  <r>
    <s v="WOLZA"/>
    <x v="2"/>
    <n v="6"/>
    <n v="1"/>
  </r>
  <r>
    <s v="AROUT"/>
    <x v="2"/>
    <n v="6"/>
    <n v="1"/>
  </r>
  <r>
    <s v="QUEDE"/>
    <x v="4"/>
    <n v="6"/>
    <n v="1"/>
  </r>
  <r>
    <s v="BLONP"/>
    <x v="2"/>
    <n v="6"/>
    <n v="1"/>
  </r>
  <r>
    <s v="WANDK"/>
    <x v="1"/>
    <n v="6"/>
    <n v="1"/>
  </r>
  <r>
    <s v="FAMIA"/>
    <x v="2"/>
    <n v="6"/>
    <n v="1"/>
  </r>
  <r>
    <s v="WHITC"/>
    <x v="4"/>
    <n v="6"/>
    <n v="1"/>
  </r>
  <r>
    <s v="FURIB"/>
    <x v="4"/>
    <n v="6"/>
    <n v="1"/>
  </r>
  <r>
    <s v="GODOS"/>
    <x v="3"/>
    <n v="6"/>
    <n v="1"/>
  </r>
  <r>
    <s v="ANATR"/>
    <x v="1"/>
    <n v="5"/>
    <n v="1"/>
  </r>
  <r>
    <s v="ANTON"/>
    <x v="1"/>
    <n v="5"/>
    <n v="1"/>
  </r>
  <r>
    <s v="SEVES"/>
    <x v="1"/>
    <n v="5"/>
    <n v="1"/>
  </r>
  <r>
    <s v="PICCO"/>
    <x v="1"/>
    <n v="5"/>
    <n v="1"/>
  </r>
  <r>
    <s v="MAISD"/>
    <x v="3"/>
    <n v="5"/>
    <n v="1"/>
  </r>
  <r>
    <s v="SANTG"/>
    <x v="2"/>
    <n v="5"/>
    <n v="1"/>
  </r>
  <r>
    <s v="REGGC"/>
    <x v="1"/>
    <n v="5"/>
    <n v="1"/>
  </r>
  <r>
    <s v="MAGAA"/>
    <x v="2"/>
    <n v="5"/>
    <n v="1"/>
  </r>
  <r>
    <s v="WELLI"/>
    <x v="0"/>
    <n v="5"/>
    <n v="1"/>
  </r>
  <r>
    <s v="GREAL"/>
    <x v="1"/>
    <n v="5"/>
    <n v="1"/>
  </r>
  <r>
    <s v="OTTIK"/>
    <x v="3"/>
    <n v="5"/>
    <n v="1"/>
  </r>
  <r>
    <s v="GOURL"/>
    <x v="0"/>
    <n v="4"/>
    <n v="1"/>
  </r>
  <r>
    <s v="SPLIR"/>
    <x v="3"/>
    <n v="4"/>
    <n v="1"/>
  </r>
  <r>
    <s v="BSBEV"/>
    <x v="5"/>
    <n v="4"/>
    <n v="1"/>
  </r>
  <r>
    <s v="TOMSP"/>
    <x v="3"/>
    <n v="4"/>
    <n v="1"/>
  </r>
  <r>
    <s v="CHOPS"/>
    <x v="5"/>
    <n v="4"/>
    <n v="1"/>
  </r>
  <r>
    <s v="ALFKI"/>
    <x v="4"/>
    <n v="4"/>
    <n v="1"/>
  </r>
  <r>
    <s v="VICTE"/>
    <x v="0"/>
    <n v="4"/>
    <n v="1"/>
  </r>
  <r>
    <s v="LONEP"/>
    <x v="2"/>
    <n v="4"/>
    <n v="1"/>
  </r>
  <r>
    <s v="CACTU"/>
    <x v="2"/>
    <n v="4"/>
    <n v="1"/>
  </r>
  <r>
    <s v="EASTC"/>
    <x v="1"/>
    <n v="4"/>
    <n v="1"/>
  </r>
  <r>
    <s v="FOLIG"/>
    <x v="3"/>
    <n v="4"/>
    <n v="1"/>
  </r>
  <r>
    <s v="WILMK"/>
    <x v="2"/>
    <n v="4"/>
    <n v="1"/>
  </r>
  <r>
    <s v="MORGK"/>
    <x v="3"/>
    <n v="4"/>
    <n v="1"/>
  </r>
  <r>
    <s v="OLDWO"/>
    <x v="5"/>
    <n v="4"/>
    <n v="1"/>
  </r>
  <r>
    <s v="LETSS"/>
    <x v="4"/>
    <n v="4"/>
    <n v="1"/>
  </r>
  <r>
    <s v="RANCH"/>
    <x v="3"/>
    <n v="4"/>
    <n v="1"/>
  </r>
  <r>
    <s v="VINET"/>
    <x v="1"/>
    <n v="4"/>
    <n v="1"/>
  </r>
  <r>
    <s v="BLAUS"/>
    <x v="3"/>
    <n v="3"/>
    <n v="1"/>
  </r>
  <r>
    <s v="FRANS"/>
    <x v="3"/>
    <n v="3"/>
    <n v="1"/>
  </r>
  <r>
    <s v="LACOR"/>
    <x v="3"/>
    <n v="3"/>
    <n v="1"/>
  </r>
  <r>
    <s v="TRADH"/>
    <x v="3"/>
    <n v="3"/>
    <n v="1"/>
  </r>
  <r>
    <s v="TRAIH"/>
    <x v="2"/>
    <n v="3"/>
    <n v="1"/>
  </r>
  <r>
    <s v="HUNGC"/>
    <x v="6"/>
    <n v="3"/>
    <n v="1"/>
  </r>
  <r>
    <s v="PERIC"/>
    <x v="2"/>
    <n v="3"/>
    <n v="1"/>
  </r>
  <r>
    <s v="OCEAN"/>
    <x v="1"/>
    <n v="3"/>
    <n v="1"/>
  </r>
  <r>
    <s v="SIMOB"/>
    <x v="1"/>
    <n v="3"/>
    <n v="1"/>
  </r>
  <r>
    <s v="ROMEY"/>
    <x v="0"/>
    <n v="3"/>
    <n v="1"/>
  </r>
  <r>
    <s v="BOLID"/>
    <x v="5"/>
    <n v="2"/>
    <n v="1"/>
  </r>
  <r>
    <s v="COMMI"/>
    <x v="4"/>
    <n v="2"/>
    <n v="1"/>
  </r>
  <r>
    <s v="CONSH"/>
    <x v="5"/>
    <n v="2"/>
    <n v="1"/>
  </r>
  <r>
    <s v="DRACD"/>
    <x v="2"/>
    <n v="2"/>
    <n v="1"/>
  </r>
  <r>
    <s v="DUMON"/>
    <x v="2"/>
    <n v="2"/>
    <n v="1"/>
  </r>
  <r>
    <s v="SPECD"/>
    <x v="2"/>
    <n v="2"/>
    <n v="1"/>
  </r>
  <r>
    <s v="THEBI"/>
    <x v="2"/>
    <n v="2"/>
    <n v="1"/>
  </r>
  <r>
    <s v="THECR"/>
    <x v="2"/>
    <n v="2"/>
    <n v="1"/>
  </r>
  <r>
    <s v="LAUGB"/>
    <x v="2"/>
    <n v="2"/>
    <n v="1"/>
  </r>
  <r>
    <s v="FRANR"/>
    <x v="3"/>
    <n v="2"/>
    <n v="1"/>
  </r>
  <r>
    <s v="PRINI"/>
    <x v="5"/>
    <n v="2"/>
    <n v="1"/>
  </r>
  <r>
    <s v="GALED"/>
    <x v="4"/>
    <n v="2"/>
    <n v="1"/>
  </r>
  <r>
    <s v="NORTS"/>
    <x v="1"/>
    <n v="2"/>
    <n v="1"/>
  </r>
  <r>
    <s v="CENTC"/>
    <x v="3"/>
    <n v="1"/>
    <n v="1"/>
  </r>
  <r>
    <s v="LAZYK"/>
    <x v="1"/>
    <n v="1"/>
    <n v="1"/>
  </r>
  <r>
    <s v="GROSR"/>
    <x v="0"/>
    <n v="1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x v="0"/>
    <s v="Beverages"/>
    <s v="null"/>
    <n v="286526.95"/>
    <n v="9532"/>
    <n v="0"/>
    <n v="21.15"/>
  </r>
  <r>
    <x v="0"/>
    <s v="Dairy Products"/>
    <s v="null"/>
    <n v="251330.5"/>
    <n v="9149"/>
    <n v="0"/>
    <n v="18.559999999999999"/>
  </r>
  <r>
    <x v="0"/>
    <s v="Meat/Poultry"/>
    <s v="null"/>
    <n v="178188.79999999999"/>
    <n v="4199"/>
    <n v="0"/>
    <n v="13.16"/>
  </r>
  <r>
    <x v="0"/>
    <s v="Confections"/>
    <s v="null"/>
    <n v="177099.1"/>
    <n v="7906"/>
    <n v="0"/>
    <n v="13.08"/>
  </r>
  <r>
    <x v="0"/>
    <s v="Seafood"/>
    <s v="null"/>
    <n v="141623.09"/>
    <n v="7681"/>
    <n v="0"/>
    <n v="10.46"/>
  </r>
  <r>
    <x v="0"/>
    <s v="Condiments"/>
    <s v="null"/>
    <n v="113694.75"/>
    <n v="5298"/>
    <n v="0"/>
    <n v="8.39"/>
  </r>
  <r>
    <x v="0"/>
    <s v="Produce"/>
    <s v="null"/>
    <n v="105268.6"/>
    <n v="2990"/>
    <n v="0"/>
    <n v="7.77"/>
  </r>
  <r>
    <x v="0"/>
    <s v="Grains/Cereals"/>
    <s v="null"/>
    <n v="100726.8"/>
    <n v="4562"/>
    <n v="0"/>
    <n v="7.44"/>
  </r>
  <r>
    <x v="1"/>
    <s v="Beverages"/>
    <s v="Germany"/>
    <n v="56011.6"/>
    <n v="1602"/>
    <n v="48"/>
    <n v="0"/>
  </r>
  <r>
    <x v="1"/>
    <s v="Beverages"/>
    <s v="USA"/>
    <n v="52956.15"/>
    <n v="1360"/>
    <n v="46"/>
    <n v="0"/>
  </r>
  <r>
    <x v="1"/>
    <s v="Dairy Products"/>
    <s v="Germany"/>
    <n v="43834.9"/>
    <n v="1519"/>
    <n v="42"/>
    <n v="0"/>
  </r>
  <r>
    <x v="1"/>
    <s v="Confections"/>
    <s v="USA"/>
    <n v="37211.9"/>
    <n v="1464"/>
    <n v="49"/>
    <n v="0"/>
  </r>
  <r>
    <x v="1"/>
    <s v="Beverages"/>
    <s v="Brazil"/>
    <n v="37174.5"/>
    <n v="892"/>
    <n v="34"/>
    <n v="0"/>
  </r>
  <r>
    <x v="1"/>
    <s v="Meat/Poultry"/>
    <s v="USA"/>
    <n v="33999.660000000003"/>
    <n v="989"/>
    <n v="30"/>
    <n v="0"/>
  </r>
  <r>
    <x v="1"/>
    <s v="Confections"/>
    <s v="Germany"/>
    <n v="33603.449999999997"/>
    <n v="1436"/>
    <n v="40"/>
    <n v="0"/>
  </r>
  <r>
    <x v="1"/>
    <s v="Dairy Products"/>
    <s v="USA"/>
    <n v="32609.3"/>
    <n v="1373"/>
    <n v="39"/>
    <n v="0"/>
  </r>
  <r>
    <x v="1"/>
    <s v="Beverages"/>
    <s v="Austria"/>
    <n v="24590.05"/>
    <n v="854"/>
    <n v="17"/>
    <n v="0"/>
  </r>
  <r>
    <x v="1"/>
    <s v="Meat/Poultry"/>
    <s v="Ireland"/>
    <n v="24040.9"/>
    <n v="223"/>
    <n v="5"/>
    <n v="0"/>
  </r>
  <r>
    <x v="1"/>
    <s v="Dairy Products"/>
    <s v="Austria"/>
    <n v="23201.4"/>
    <n v="876"/>
    <n v="20"/>
    <n v="0"/>
  </r>
  <r>
    <x v="1"/>
    <s v="Seafood"/>
    <s v="USA"/>
    <n v="22989.62"/>
    <n v="1374"/>
    <n v="37"/>
    <n v="0"/>
  </r>
  <r>
    <x v="1"/>
    <s v="Seafood"/>
    <s v="Germany"/>
    <n v="22751.25"/>
    <n v="1319"/>
    <n v="39"/>
    <n v="0"/>
  </r>
  <r>
    <x v="1"/>
    <s v="Meat/Poultry"/>
    <s v="Germany"/>
    <n v="21767.439999999999"/>
    <n v="534"/>
    <n v="22"/>
    <n v="0"/>
  </r>
  <r>
    <x v="1"/>
    <s v="Grains/Cereals"/>
    <s v="USA"/>
    <n v="19457.8"/>
    <n v="699"/>
    <n v="27"/>
    <n v="0"/>
  </r>
  <r>
    <x v="1"/>
    <s v="Dairy Products"/>
    <s v="Venezuela"/>
    <n v="18683.7"/>
    <n v="555"/>
    <n v="18"/>
    <n v="0"/>
  </r>
  <r>
    <x v="1"/>
    <s v="Condiments"/>
    <s v="Germany"/>
    <n v="17281.099999999999"/>
    <n v="865"/>
    <n v="29"/>
    <n v="0"/>
  </r>
  <r>
    <x v="1"/>
    <s v="Condiments"/>
    <s v="Austria"/>
    <n v="16552.400000000001"/>
    <n v="695"/>
    <n v="14"/>
    <n v="0"/>
  </r>
  <r>
    <x v="1"/>
    <s v="Condiments"/>
    <s v="USA"/>
    <n v="16446.95"/>
    <n v="722"/>
    <n v="21"/>
    <n v="0"/>
  </r>
  <r>
    <x v="1"/>
    <s v="Seafood"/>
    <s v="France"/>
    <n v="15739.4"/>
    <n v="551"/>
    <n v="30"/>
    <n v="0"/>
  </r>
  <r>
    <x v="1"/>
    <s v="Produce"/>
    <s v="Germany"/>
    <n v="14933.9"/>
    <n v="444"/>
    <n v="18"/>
    <n v="0"/>
  </r>
  <r>
    <x v="1"/>
    <s v="Grains/Cereals"/>
    <s v="Germany"/>
    <n v="14603.15"/>
    <n v="800"/>
    <n v="23"/>
    <n v="0"/>
  </r>
  <r>
    <x v="1"/>
    <s v="Dairy Products"/>
    <s v="Brazil"/>
    <n v="14472.5"/>
    <n v="614"/>
    <n v="25"/>
    <n v="0"/>
  </r>
  <r>
    <x v="1"/>
    <s v="Confections"/>
    <s v="Austria"/>
    <n v="14295.85"/>
    <n v="553"/>
    <n v="11"/>
    <n v="0"/>
  </r>
  <r>
    <x v="1"/>
    <s v="Beverages"/>
    <s v="Canada"/>
    <n v="13694.7"/>
    <n v="273"/>
    <n v="9"/>
    <n v="0"/>
  </r>
  <r>
    <x v="1"/>
    <s v="Beverages"/>
    <s v="France"/>
    <n v="13625"/>
    <n v="608"/>
    <n v="31"/>
    <n v="0"/>
  </r>
  <r>
    <x v="1"/>
    <s v="Seafood"/>
    <s v="Brazil"/>
    <n v="13158.48"/>
    <n v="605"/>
    <n v="31"/>
    <n v="0"/>
  </r>
  <r>
    <x v="1"/>
    <s v="Confections"/>
    <s v="France"/>
    <n v="13123.85"/>
    <n v="556"/>
    <n v="25"/>
    <n v="0"/>
  </r>
  <r>
    <x v="1"/>
    <s v="Beverages"/>
    <s v="Sweden"/>
    <n v="12507.05"/>
    <n v="499"/>
    <n v="22"/>
    <n v="0"/>
  </r>
  <r>
    <x v="1"/>
    <s v="Beverages"/>
    <s v="Denmark"/>
    <n v="12025.7"/>
    <n v="195"/>
    <n v="7"/>
    <n v="0"/>
  </r>
  <r>
    <x v="1"/>
    <s v="Meat/Poultry"/>
    <s v="Austria"/>
    <n v="12001.48"/>
    <n v="362"/>
    <n v="9"/>
    <n v="0"/>
  </r>
  <r>
    <x v="1"/>
    <s v="Confections"/>
    <s v="Brazil"/>
    <n v="11842.73"/>
    <n v="687"/>
    <n v="29"/>
    <n v="0"/>
  </r>
  <r>
    <x v="1"/>
    <s v="Dairy Products"/>
    <s v="UK"/>
    <n v="11516.2"/>
    <n v="534"/>
    <n v="20"/>
    <n v="0"/>
  </r>
  <r>
    <x v="1"/>
    <s v="Meat/Poultry"/>
    <s v="France"/>
    <n v="11142.96"/>
    <n v="243"/>
    <n v="13"/>
    <n v="0"/>
  </r>
  <r>
    <x v="1"/>
    <s v="Dairy Products"/>
    <s v="Ireland"/>
    <n v="11093.4"/>
    <n v="387"/>
    <n v="10"/>
    <n v="0"/>
  </r>
  <r>
    <x v="1"/>
    <s v="Condiments"/>
    <s v="Brazil"/>
    <n v="11084.25"/>
    <n v="511"/>
    <n v="20"/>
    <n v="0"/>
  </r>
  <r>
    <x v="1"/>
    <s v="Produce"/>
    <s v="Austria"/>
    <n v="10563.95"/>
    <n v="318"/>
    <n v="8"/>
    <n v="0"/>
  </r>
  <r>
    <x v="1"/>
    <s v="Produce"/>
    <s v="USA"/>
    <n v="10412.65"/>
    <n v="319"/>
    <n v="15"/>
    <n v="0"/>
  </r>
  <r>
    <x v="1"/>
    <s v="Dairy Products"/>
    <s v="Canada"/>
    <n v="10064.5"/>
    <n v="366"/>
    <n v="9"/>
    <n v="0"/>
  </r>
  <r>
    <x v="1"/>
    <s v="Grains/Cereals"/>
    <s v="Austria"/>
    <n v="9700.5"/>
    <n v="425"/>
    <n v="10"/>
    <n v="0"/>
  </r>
  <r>
    <x v="1"/>
    <s v="Meat/Poultry"/>
    <s v="Sweden"/>
    <n v="9625.9500000000007"/>
    <n v="174"/>
    <n v="10"/>
    <n v="0"/>
  </r>
  <r>
    <x v="1"/>
    <s v="Seafood"/>
    <s v="Venezuela"/>
    <n v="9508.2000000000007"/>
    <n v="550"/>
    <n v="19"/>
    <n v="0"/>
  </r>
  <r>
    <x v="1"/>
    <s v="Produce"/>
    <s v="Sweden"/>
    <n v="9116"/>
    <n v="214"/>
    <n v="6"/>
    <n v="0"/>
  </r>
  <r>
    <x v="1"/>
    <s v="Dairy Products"/>
    <s v="France"/>
    <n v="9108.9"/>
    <n v="398"/>
    <n v="20"/>
    <n v="0"/>
  </r>
  <r>
    <x v="1"/>
    <s v="Confections"/>
    <s v="UK"/>
    <n v="8848.5"/>
    <n v="306"/>
    <n v="15"/>
    <n v="0"/>
  </r>
  <r>
    <x v="1"/>
    <s v="Produce"/>
    <s v="France"/>
    <n v="8304.7999999999993"/>
    <n v="239"/>
    <n v="13"/>
    <n v="0"/>
  </r>
  <r>
    <x v="1"/>
    <s v="Dairy Products"/>
    <s v="Belgium"/>
    <n v="8180"/>
    <n v="265"/>
    <n v="7"/>
    <n v="0"/>
  </r>
  <r>
    <x v="1"/>
    <s v="Seafood"/>
    <s v="Austria"/>
    <n v="8060.75"/>
    <n v="458"/>
    <n v="9"/>
    <n v="0"/>
  </r>
  <r>
    <x v="1"/>
    <s v="Meat/Poultry"/>
    <s v="Spain"/>
    <n v="7919.1"/>
    <n v="129"/>
    <n v="7"/>
    <n v="0"/>
  </r>
  <r>
    <x v="1"/>
    <s v="Confections"/>
    <s v="Canada"/>
    <n v="7742.1"/>
    <n v="355"/>
    <n v="13"/>
    <n v="0"/>
  </r>
  <r>
    <x v="1"/>
    <s v="Confections"/>
    <s v="Belgium"/>
    <n v="7711.18"/>
    <n v="270"/>
    <n v="8"/>
    <n v="0"/>
  </r>
  <r>
    <x v="1"/>
    <s v="Beverages"/>
    <s v="Mexico"/>
    <n v="7647.5"/>
    <n v="255"/>
    <n v="13"/>
    <n v="0"/>
  </r>
  <r>
    <x v="1"/>
    <s v="Meat/Poultry"/>
    <s v="Brazil"/>
    <n v="7540.12"/>
    <n v="211"/>
    <n v="12"/>
    <n v="0"/>
  </r>
  <r>
    <x v="1"/>
    <s v="Confections"/>
    <s v="Venezuela"/>
    <n v="7324.93"/>
    <n v="429"/>
    <n v="15"/>
    <n v="0"/>
  </r>
  <r>
    <x v="1"/>
    <s v="Seafood"/>
    <s v="Ireland"/>
    <n v="6916.39"/>
    <n v="360"/>
    <n v="9"/>
    <n v="0"/>
  </r>
  <r>
    <x v="1"/>
    <s v="Seafood"/>
    <s v="Sweden"/>
    <n v="6893.55"/>
    <n v="439"/>
    <n v="15"/>
    <n v="0"/>
  </r>
  <r>
    <x v="1"/>
    <s v="Produce"/>
    <s v="UK"/>
    <n v="6822.8"/>
    <n v="185"/>
    <n v="8"/>
    <n v="0"/>
  </r>
  <r>
    <x v="1"/>
    <s v="Beverages"/>
    <s v="Venezuela"/>
    <n v="6668.6"/>
    <n v="494"/>
    <n v="18"/>
    <n v="0"/>
  </r>
  <r>
    <x v="1"/>
    <s v="Condiments"/>
    <s v="France"/>
    <n v="6648.4"/>
    <n v="267"/>
    <n v="11"/>
    <n v="0"/>
  </r>
  <r>
    <x v="1"/>
    <s v="Grains/Cereals"/>
    <s v="Brazil"/>
    <n v="6638"/>
    <n v="315"/>
    <n v="14"/>
    <n v="0"/>
  </r>
  <r>
    <x v="1"/>
    <s v="Dairy Products"/>
    <s v="Sweden"/>
    <n v="6585.2"/>
    <n v="215"/>
    <n v="11"/>
    <n v="0"/>
  </r>
  <r>
    <x v="1"/>
    <s v="Grains/Cereals"/>
    <s v="France"/>
    <n v="6493.45"/>
    <n v="322"/>
    <n v="18"/>
    <n v="0"/>
  </r>
  <r>
    <x v="1"/>
    <s v="Dairy Products"/>
    <s v="Switzerland"/>
    <n v="6451.3"/>
    <n v="226"/>
    <n v="6"/>
    <n v="0"/>
  </r>
  <r>
    <x v="1"/>
    <s v="Dairy Products"/>
    <s v="Finland"/>
    <n v="6027.8"/>
    <n v="230"/>
    <n v="9"/>
    <n v="0"/>
  </r>
  <r>
    <x v="1"/>
    <s v="Grains/Cereals"/>
    <s v="Canada"/>
    <n v="5765.1"/>
    <n v="207"/>
    <n v="10"/>
    <n v="0"/>
  </r>
  <r>
    <x v="1"/>
    <s v="Beverages"/>
    <s v="UK"/>
    <n v="5721.2"/>
    <n v="444"/>
    <n v="21"/>
    <n v="0"/>
  </r>
  <r>
    <x v="1"/>
    <s v="Confections"/>
    <s v="Sweden"/>
    <n v="5675.65"/>
    <n v="278"/>
    <n v="10"/>
    <n v="0"/>
  </r>
  <r>
    <x v="1"/>
    <s v="Meat/Poultry"/>
    <s v="UK"/>
    <n v="5605.15"/>
    <n v="137"/>
    <n v="8"/>
    <n v="0"/>
  </r>
  <r>
    <x v="1"/>
    <s v="Grains/Cereals"/>
    <s v="UK"/>
    <n v="5195.2"/>
    <n v="322"/>
    <n v="18"/>
    <n v="0"/>
  </r>
  <r>
    <x v="1"/>
    <s v="Produce"/>
    <s v="Brazil"/>
    <n v="5020.3500000000004"/>
    <n v="125"/>
    <n v="6"/>
    <n v="0"/>
  </r>
  <r>
    <x v="1"/>
    <s v="Condiments"/>
    <s v="Canada"/>
    <n v="5010.6000000000004"/>
    <n v="256"/>
    <n v="10"/>
    <n v="0"/>
  </r>
  <r>
    <x v="1"/>
    <s v="Condiments"/>
    <s v="Sweden"/>
    <n v="4970.3"/>
    <n v="226"/>
    <n v="8"/>
    <n v="0"/>
  </r>
  <r>
    <x v="1"/>
    <s v="Seafood"/>
    <s v="Canada"/>
    <n v="4946.3"/>
    <n v="204"/>
    <n v="8"/>
    <n v="0"/>
  </r>
  <r>
    <x v="1"/>
    <s v="Meat/Poultry"/>
    <s v="Switzerland"/>
    <n v="4859.6400000000003"/>
    <n v="57"/>
    <n v="2"/>
    <n v="0"/>
  </r>
  <r>
    <x v="1"/>
    <s v="Dairy Products"/>
    <s v="Mexico"/>
    <n v="4702.3999999999996"/>
    <n v="241"/>
    <n v="13"/>
    <n v="0"/>
  </r>
  <r>
    <x v="1"/>
    <s v="Produce"/>
    <s v="Denmark"/>
    <n v="4626"/>
    <n v="100"/>
    <n v="3"/>
    <n v="0"/>
  </r>
  <r>
    <x v="1"/>
    <s v="Beverages"/>
    <s v="Belgium"/>
    <n v="4604.3999999999996"/>
    <n v="202"/>
    <n v="7"/>
    <n v="0"/>
  </r>
  <r>
    <x v="1"/>
    <s v="Meat/Poultry"/>
    <s v="Venezuela"/>
    <n v="4590.3999999999996"/>
    <n v="172"/>
    <n v="5"/>
    <n v="0"/>
  </r>
  <r>
    <x v="1"/>
    <s v="Seafood"/>
    <s v="UK"/>
    <n v="4580.1499999999996"/>
    <n v="294"/>
    <n v="15"/>
    <n v="0"/>
  </r>
  <r>
    <x v="1"/>
    <s v="Condiments"/>
    <s v="Denmark"/>
    <n v="4455.3999999999996"/>
    <n v="210"/>
    <n v="9"/>
    <n v="0"/>
  </r>
  <r>
    <x v="1"/>
    <s v="Seafood"/>
    <s v="Denmark"/>
    <n v="4300.95"/>
    <n v="230"/>
    <n v="8"/>
    <n v="0"/>
  </r>
  <r>
    <x v="1"/>
    <s v="Meat/Poultry"/>
    <s v="Canada"/>
    <n v="4266"/>
    <n v="141"/>
    <n v="4"/>
    <n v="0"/>
  </r>
  <r>
    <x v="1"/>
    <s v="Dairy Products"/>
    <s v="Italy"/>
    <n v="4240.8"/>
    <n v="148"/>
    <n v="7"/>
    <n v="0"/>
  </r>
  <r>
    <x v="1"/>
    <s v="Grains/Cereals"/>
    <s v="Switzerland"/>
    <n v="4171"/>
    <n v="200"/>
    <n v="6"/>
    <n v="0"/>
  </r>
  <r>
    <x v="1"/>
    <s v="Condiments"/>
    <s v="Ireland"/>
    <n v="3898.5"/>
    <n v="180"/>
    <n v="5"/>
    <n v="0"/>
  </r>
  <r>
    <x v="1"/>
    <s v="Condiments"/>
    <s v="Portugal"/>
    <n v="3869.45"/>
    <n v="181"/>
    <n v="7"/>
    <n v="0"/>
  </r>
  <r>
    <x v="1"/>
    <s v="Produce"/>
    <s v="Ireland"/>
    <n v="3821.7"/>
    <n v="121"/>
    <n v="3"/>
    <n v="0"/>
  </r>
  <r>
    <x v="1"/>
    <s v="Meat/Poultry"/>
    <s v="Denmark"/>
    <n v="3700.7"/>
    <n v="146"/>
    <n v="4"/>
    <n v="0"/>
  </r>
  <r>
    <x v="1"/>
    <s v="Condiments"/>
    <s v="UK"/>
    <n v="3493.5"/>
    <n v="159"/>
    <n v="6"/>
    <n v="0"/>
  </r>
  <r>
    <x v="1"/>
    <s v="Meat/Poultry"/>
    <s v="Finland"/>
    <n v="3345.25"/>
    <n v="93"/>
    <n v="6"/>
    <n v="0"/>
  </r>
  <r>
    <x v="1"/>
    <s v="Grains/Cereals"/>
    <s v="Sweden"/>
    <n v="3250"/>
    <n v="140"/>
    <n v="4"/>
    <n v="0"/>
  </r>
  <r>
    <x v="1"/>
    <s v="Confections"/>
    <s v="Switzerland"/>
    <n v="3246.16"/>
    <n v="148"/>
    <n v="6"/>
    <n v="0"/>
  </r>
  <r>
    <x v="1"/>
    <s v="Produce"/>
    <s v="Belgium"/>
    <n v="3223.2"/>
    <n v="98"/>
    <n v="4"/>
    <n v="0"/>
  </r>
  <r>
    <x v="1"/>
    <s v="Produce"/>
    <s v="Venezuela"/>
    <n v="3124"/>
    <n v="95"/>
    <n v="4"/>
    <n v="0"/>
  </r>
  <r>
    <x v="1"/>
    <s v="Grains/Cereals"/>
    <s v="Venezuela"/>
    <n v="3074.25"/>
    <n v="196"/>
    <n v="7"/>
    <n v="0"/>
  </r>
  <r>
    <x v="1"/>
    <s v="Beverages"/>
    <s v="Ireland"/>
    <n v="2919.4"/>
    <n v="170"/>
    <n v="8"/>
    <n v="0"/>
  </r>
  <r>
    <x v="1"/>
    <s v="Seafood"/>
    <s v="Switzerland"/>
    <n v="2831.6"/>
    <n v="177"/>
    <n v="8"/>
    <n v="0"/>
  </r>
  <r>
    <x v="1"/>
    <s v="Meat/Poultry"/>
    <s v="Mexico"/>
    <n v="2828.9"/>
    <n v="81"/>
    <n v="5"/>
    <n v="0"/>
  </r>
  <r>
    <x v="1"/>
    <s v="Grains/Cereals"/>
    <s v="Finland"/>
    <n v="2800"/>
    <n v="100"/>
    <n v="5"/>
    <n v="0"/>
  </r>
  <r>
    <x v="1"/>
    <s v="Grains/Cereals"/>
    <s v="Belgium"/>
    <n v="2792"/>
    <n v="113"/>
    <n v="5"/>
    <n v="0"/>
  </r>
  <r>
    <x v="1"/>
    <s v="Confections"/>
    <s v="Italy"/>
    <n v="2787.7"/>
    <n v="145"/>
    <n v="8"/>
    <n v="0"/>
  </r>
  <r>
    <x v="1"/>
    <s v="Beverages"/>
    <s v="Norway"/>
    <n v="2756"/>
    <n v="48"/>
    <n v="3"/>
    <n v="0"/>
  </r>
  <r>
    <x v="1"/>
    <s v="Dairy Products"/>
    <s v="Denmark"/>
    <n v="2753.2"/>
    <n v="89"/>
    <n v="4"/>
    <n v="0"/>
  </r>
  <r>
    <x v="1"/>
    <s v="Condiments"/>
    <s v="Belgium"/>
    <n v="2714.7"/>
    <n v="147"/>
    <n v="5"/>
    <n v="0"/>
  </r>
  <r>
    <x v="1"/>
    <s v="Confections"/>
    <s v="Denmark"/>
    <n v="2571"/>
    <n v="171"/>
    <n v="6"/>
    <n v="0"/>
  </r>
  <r>
    <x v="1"/>
    <s v="Produce"/>
    <s v="Mexico"/>
    <n v="2517.75"/>
    <n v="67"/>
    <n v="4"/>
    <n v="0"/>
  </r>
  <r>
    <x v="1"/>
    <s v="Grains/Cereals"/>
    <s v="Portugal"/>
    <n v="2415.1999999999998"/>
    <n v="84"/>
    <n v="4"/>
    <n v="0"/>
  </r>
  <r>
    <x v="1"/>
    <s v="Produce"/>
    <s v="Switzerland"/>
    <n v="2236"/>
    <n v="77"/>
    <n v="4"/>
    <n v="0"/>
  </r>
  <r>
    <x v="1"/>
    <s v="Meat/Poultry"/>
    <s v="Belgium"/>
    <n v="2184"/>
    <n v="79"/>
    <n v="3"/>
    <n v="0"/>
  </r>
  <r>
    <x v="1"/>
    <s v="Produce"/>
    <s v="Spain"/>
    <n v="2120"/>
    <n v="40"/>
    <n v="1"/>
    <n v="0"/>
  </r>
  <r>
    <x v="1"/>
    <s v="Confections"/>
    <s v="Argentina"/>
    <n v="2095.1"/>
    <n v="55"/>
    <n v="7"/>
    <n v="0"/>
  </r>
  <r>
    <x v="1"/>
    <s v="Confections"/>
    <s v="Mexico"/>
    <n v="2066.9499999999998"/>
    <n v="119"/>
    <n v="7"/>
    <n v="0"/>
  </r>
  <r>
    <x v="1"/>
    <s v="Beverages"/>
    <s v="Finland"/>
    <n v="2042"/>
    <n v="97"/>
    <n v="8"/>
    <n v="0"/>
  </r>
  <r>
    <x v="1"/>
    <s v="Condiments"/>
    <s v="Venezuela"/>
    <n v="1990.55"/>
    <n v="166"/>
    <n v="8"/>
    <n v="0"/>
  </r>
  <r>
    <x v="1"/>
    <s v="Condiments"/>
    <s v="Finland"/>
    <n v="1873"/>
    <n v="75"/>
    <n v="5"/>
    <n v="0"/>
  </r>
  <r>
    <x v="1"/>
    <s v="Seafood"/>
    <s v="Mexico"/>
    <n v="1855"/>
    <n v="102"/>
    <n v="8"/>
    <n v="0"/>
  </r>
  <r>
    <x v="1"/>
    <s v="Grains/Cereals"/>
    <s v="Italy"/>
    <n v="1794"/>
    <n v="108"/>
    <n v="5"/>
    <n v="0"/>
  </r>
  <r>
    <x v="1"/>
    <s v="Condiments"/>
    <s v="Spain"/>
    <n v="1789.45"/>
    <n v="95"/>
    <n v="5"/>
    <n v="0"/>
  </r>
  <r>
    <x v="1"/>
    <s v="Confections"/>
    <s v="Spain"/>
    <n v="1784.05"/>
    <n v="89"/>
    <n v="8"/>
    <n v="0"/>
  </r>
  <r>
    <x v="1"/>
    <s v="Confections"/>
    <s v="Ireland"/>
    <n v="1739.2"/>
    <n v="91"/>
    <n v="3"/>
    <n v="0"/>
  </r>
  <r>
    <x v="1"/>
    <s v="Grains/Cereals"/>
    <s v="Spain"/>
    <n v="1697"/>
    <n v="94"/>
    <n v="6"/>
    <n v="0"/>
  </r>
  <r>
    <x v="1"/>
    <s v="Beverages"/>
    <s v="Switzerland"/>
    <n v="1561.5"/>
    <n v="140"/>
    <n v="5"/>
    <n v="0"/>
  </r>
  <r>
    <x v="1"/>
    <s v="Beverages"/>
    <s v="Argentina"/>
    <n v="1518"/>
    <n v="62"/>
    <n v="5"/>
    <n v="0"/>
  </r>
  <r>
    <x v="1"/>
    <s v="Grains/Cereals"/>
    <s v="Ireland"/>
    <n v="1442.4"/>
    <n v="52"/>
    <n v="3"/>
    <n v="0"/>
  </r>
  <r>
    <x v="1"/>
    <s v="Seafood"/>
    <s v="Spain"/>
    <n v="1410.09"/>
    <n v="72"/>
    <n v="6"/>
    <n v="0"/>
  </r>
  <r>
    <x v="1"/>
    <s v="Meat/Poultry"/>
    <s v="Portugal"/>
    <n v="1355.9"/>
    <n v="30"/>
    <n v="2"/>
    <n v="0"/>
  </r>
  <r>
    <x v="1"/>
    <s v="Condiments"/>
    <s v="Italy"/>
    <n v="1318.25"/>
    <n v="80"/>
    <n v="4"/>
    <n v="0"/>
  </r>
  <r>
    <x v="1"/>
    <s v="Seafood"/>
    <s v="Italy"/>
    <n v="1259.5999999999999"/>
    <n v="98"/>
    <n v="7"/>
    <n v="0"/>
  </r>
  <r>
    <x v="1"/>
    <s v="Beverages"/>
    <s v="Spain"/>
    <n v="1249.2"/>
    <n v="110"/>
    <n v="5"/>
    <n v="0"/>
  </r>
  <r>
    <x v="1"/>
    <s v="Condiments"/>
    <s v="Mexico"/>
    <n v="1235.45"/>
    <n v="60"/>
    <n v="5"/>
    <n v="0"/>
  </r>
  <r>
    <x v="1"/>
    <s v="Seafood"/>
    <s v="Belgium"/>
    <n v="1220"/>
    <n v="71"/>
    <n v="4"/>
    <n v="0"/>
  </r>
  <r>
    <x v="1"/>
    <s v="Seafood"/>
    <s v="Finland"/>
    <n v="1196.3"/>
    <n v="98"/>
    <n v="5"/>
    <n v="0"/>
  </r>
  <r>
    <x v="1"/>
    <s v="Beverages"/>
    <s v="Portugal"/>
    <n v="1190.4000000000001"/>
    <n v="78"/>
    <n v="5"/>
    <n v="0"/>
  </r>
  <r>
    <x v="1"/>
    <s v="Produce"/>
    <s v="Finland"/>
    <n v="1161.05"/>
    <n v="73"/>
    <n v="5"/>
    <n v="0"/>
  </r>
  <r>
    <x v="1"/>
    <s v="Produce"/>
    <s v="Argentina"/>
    <n v="1139"/>
    <n v="33"/>
    <n v="4"/>
    <n v="0"/>
  </r>
  <r>
    <x v="1"/>
    <s v="Confections"/>
    <s v="Portugal"/>
    <n v="1122.5"/>
    <n v="87"/>
    <n v="5"/>
    <n v="0"/>
  </r>
  <r>
    <x v="1"/>
    <s v="Dairy Products"/>
    <s v="Argentina"/>
    <n v="1118.5"/>
    <n v="44"/>
    <n v="5"/>
    <n v="0"/>
  </r>
  <r>
    <x v="1"/>
    <s v="Produce"/>
    <s v="Italy"/>
    <n v="1086.8"/>
    <n v="37"/>
    <n v="3"/>
    <n v="0"/>
  </r>
  <r>
    <x v="1"/>
    <s v="Confections"/>
    <s v="Finland"/>
    <n v="1033.05"/>
    <n v="89"/>
    <n v="6"/>
    <n v="0"/>
  </r>
  <r>
    <x v="1"/>
    <s v="Dairy Products"/>
    <s v="Portugal"/>
    <n v="1008"/>
    <n v="31"/>
    <n v="3"/>
    <n v="0"/>
  </r>
  <r>
    <x v="1"/>
    <s v="Beverages"/>
    <s v="Italy"/>
    <n v="930"/>
    <n v="92"/>
    <n v="4"/>
    <n v="0"/>
  </r>
  <r>
    <x v="1"/>
    <s v="Condiments"/>
    <s v="Argentina"/>
    <n v="907"/>
    <n v="45"/>
    <n v="3"/>
    <n v="0"/>
  </r>
  <r>
    <x v="1"/>
    <s v="Produce"/>
    <s v="Canada"/>
    <n v="840"/>
    <n v="50"/>
    <n v="2"/>
    <n v="0"/>
  </r>
  <r>
    <x v="1"/>
    <s v="Meat/Poultry"/>
    <s v="Italy"/>
    <n v="839"/>
    <n v="30"/>
    <n v="2"/>
    <n v="0"/>
  </r>
  <r>
    <x v="1"/>
    <s v="Beverages"/>
    <s v="Poland"/>
    <n v="828.5"/>
    <n v="71"/>
    <n v="4"/>
    <n v="0"/>
  </r>
  <r>
    <x v="1"/>
    <s v="Dairy Products"/>
    <s v="Poland"/>
    <n v="810"/>
    <n v="45"/>
    <n v="2"/>
    <n v="0"/>
  </r>
  <r>
    <x v="1"/>
    <s v="Dairy Products"/>
    <s v="Norway"/>
    <n v="786"/>
    <n v="27"/>
    <n v="1"/>
    <n v="0"/>
  </r>
  <r>
    <x v="1"/>
    <s v="Produce"/>
    <s v="Portugal"/>
    <n v="763.2"/>
    <n v="18"/>
    <n v="1"/>
    <n v="0"/>
  </r>
  <r>
    <x v="1"/>
    <s v="Seafood"/>
    <s v="Portugal"/>
    <n v="744"/>
    <n v="24"/>
    <n v="1"/>
    <n v="0"/>
  </r>
  <r>
    <x v="1"/>
    <s v="Condiments"/>
    <s v="Poland"/>
    <n v="627"/>
    <n v="22"/>
    <n v="2"/>
    <n v="0"/>
  </r>
  <r>
    <x v="1"/>
    <s v="Produce"/>
    <s v="Norway"/>
    <n v="578.4"/>
    <n v="18"/>
    <n v="2"/>
    <n v="0"/>
  </r>
  <r>
    <x v="1"/>
    <s v="Seafood"/>
    <s v="Argentina"/>
    <n v="570.5"/>
    <n v="45"/>
    <n v="4"/>
    <n v="0"/>
  </r>
  <r>
    <x v="1"/>
    <s v="Grains/Cereals"/>
    <s v="Mexico"/>
    <n v="559.5"/>
    <n v="50"/>
    <n v="4"/>
    <n v="0"/>
  </r>
  <r>
    <x v="1"/>
    <s v="Seafood"/>
    <s v="Norway"/>
    <n v="548.25"/>
    <n v="13"/>
    <n v="2"/>
    <n v="0"/>
  </r>
  <r>
    <x v="1"/>
    <s v="Grains/Cereals"/>
    <s v="Argentina"/>
    <n v="390"/>
    <n v="20"/>
    <n v="1"/>
    <n v="0"/>
  </r>
  <r>
    <x v="1"/>
    <s v="Dairy Products"/>
    <s v="Spain"/>
    <n v="340"/>
    <n v="10"/>
    <n v="1"/>
    <n v="0"/>
  </r>
  <r>
    <x v="1"/>
    <s v="Produce"/>
    <s v="Poland"/>
    <n v="306"/>
    <n v="22"/>
    <n v="2"/>
    <n v="0"/>
  </r>
  <r>
    <x v="1"/>
    <s v="Confections"/>
    <s v="Norway"/>
    <n v="280.14999999999998"/>
    <n v="17"/>
    <n v="2"/>
    <n v="0"/>
  </r>
  <r>
    <x v="1"/>
    <s v="Condiments"/>
    <s v="Switzerland"/>
    <n v="210.5"/>
    <n v="10"/>
    <n v="1"/>
    <n v="0"/>
  </r>
  <r>
    <x v="1"/>
    <s v="Confections"/>
    <s v="Poland"/>
    <n v="187.5"/>
    <n v="15"/>
    <n v="1"/>
    <n v="0"/>
  </r>
  <r>
    <x v="1"/>
    <s v="Meat/Poultry"/>
    <s v="Norway"/>
    <n v="164"/>
    <n v="5"/>
    <n v="1"/>
    <n v="0"/>
  </r>
  <r>
    <x v="1"/>
    <s v="Seafood"/>
    <s v="Poland"/>
    <n v="159"/>
    <n v="15"/>
    <n v="1"/>
    <n v="0"/>
  </r>
  <r>
    <x v="1"/>
    <s v="Grains/Cereals"/>
    <s v="Denmark"/>
    <n v="105"/>
    <n v="15"/>
    <n v="1"/>
    <n v="0"/>
  </r>
  <r>
    <x v="1"/>
    <s v="Meat/Poultry"/>
    <s v="Poland"/>
    <n v="22.35"/>
    <n v="3"/>
    <n v="1"/>
    <n v="0"/>
  </r>
  <r>
    <x v="2"/>
    <s v="CÃ´te de Blaye"/>
    <m/>
    <n v="149984.20000000001"/>
    <n v="623"/>
    <m/>
    <n v="11.07"/>
  </r>
  <r>
    <x v="2"/>
    <s v="ThÃ¼ringer Rostbratwurst"/>
    <m/>
    <n v="87736.4"/>
    <n v="746"/>
    <m/>
    <n v="6.48"/>
  </r>
  <r>
    <x v="2"/>
    <s v="Raclette Courdavault"/>
    <m/>
    <n v="76296"/>
    <n v="1496"/>
    <m/>
    <n v="5.63"/>
  </r>
  <r>
    <x v="2"/>
    <s v="Camembert Pierrot"/>
    <m/>
    <n v="50286"/>
    <n v="1577"/>
    <m/>
    <n v="3.71"/>
  </r>
  <r>
    <x v="2"/>
    <s v="Tarte au sucre"/>
    <m/>
    <n v="49827.9"/>
    <n v="1083"/>
    <m/>
    <n v="3.68"/>
  </r>
  <r>
    <x v="2"/>
    <s v="Gnocchi di nonna Alice"/>
    <m/>
    <n v="45121.2"/>
    <n v="1263"/>
    <m/>
    <n v="3.33"/>
  </r>
  <r>
    <x v="2"/>
    <s v="Manjimup Dried Apples"/>
    <m/>
    <n v="44742.6"/>
    <n v="886"/>
    <m/>
    <n v="3.3"/>
  </r>
  <r>
    <x v="2"/>
    <s v="Alice Mutton"/>
    <m/>
    <n v="35482.199999999997"/>
    <n v="978"/>
    <m/>
    <n v="2.62"/>
  </r>
  <r>
    <x v="2"/>
    <s v="Carnarvon Tigers"/>
    <m/>
    <n v="31987.5"/>
    <n v="539"/>
    <m/>
    <n v="2.36"/>
  </r>
  <r>
    <x v="2"/>
    <s v="RÃ¶ssle Sauerkraut"/>
    <m/>
    <n v="26865.599999999999"/>
    <n v="640"/>
    <m/>
    <n v="1.98"/>
  </r>
  <r>
    <x v="2"/>
    <s v="Mozzarella di Giovanni"/>
    <m/>
    <n v="25738.799999999999"/>
    <n v="806"/>
    <m/>
    <n v="1.9"/>
  </r>
  <r>
    <x v="2"/>
    <s v="Ipoh Coffee"/>
    <m/>
    <n v="25079.200000000001"/>
    <n v="580"/>
    <m/>
    <n v="1.85"/>
  </r>
  <r>
    <x v="2"/>
    <s v="Gudbrandsdalsost"/>
    <m/>
    <n v="24307.200000000001"/>
    <n v="714"/>
    <m/>
    <n v="1.79"/>
  </r>
  <r>
    <x v="2"/>
    <s v="Sir Rodney's Marmalade"/>
    <m/>
    <n v="23635.8"/>
    <n v="313"/>
    <m/>
    <n v="1.75"/>
  </r>
  <r>
    <x v="2"/>
    <s v="Wimmers gute SemmelknÃ¶del"/>
    <m/>
    <n v="23009"/>
    <n v="740"/>
    <m/>
    <n v="1.7"/>
  </r>
  <r>
    <x v="2"/>
    <s v="Uncle Bob's Organic Dried Pears"/>
    <m/>
    <n v="22464"/>
    <n v="763"/>
    <m/>
    <n v="1.66"/>
  </r>
  <r>
    <x v="2"/>
    <s v="Ikura"/>
    <m/>
    <n v="22140.2"/>
    <n v="742"/>
    <m/>
    <n v="1.63"/>
  </r>
  <r>
    <x v="2"/>
    <s v="GumbÃ¤r GummibÃ¤rchen"/>
    <m/>
    <n v="21534.9"/>
    <n v="753"/>
    <m/>
    <n v="1.59"/>
  </r>
  <r>
    <x v="2"/>
    <s v="Perth Pasties"/>
    <m/>
    <n v="21510.2"/>
    <n v="722"/>
    <m/>
    <n v="1.59"/>
  </r>
  <r>
    <x v="2"/>
    <s v="FlÃ¸temysost"/>
    <m/>
    <n v="20876.5"/>
    <n v="1057"/>
    <m/>
    <n v="1.54"/>
  </r>
  <r>
    <x v="2"/>
    <s v="PÃ¢tÃ© chinois"/>
    <m/>
    <n v="19512"/>
    <n v="903"/>
    <m/>
    <n v="1.44"/>
  </r>
  <r>
    <x v="2"/>
    <s v="Boston Crab Meat"/>
    <m/>
    <n v="19048.3"/>
    <n v="1103"/>
    <m/>
    <n v="1.41"/>
  </r>
  <r>
    <x v="2"/>
    <s v="Pavlova"/>
    <m/>
    <n v="18748.05"/>
    <n v="1158"/>
    <m/>
    <n v="1.38"/>
  </r>
  <r>
    <x v="2"/>
    <s v="Chang"/>
    <m/>
    <n v="18559.2"/>
    <n v="1057"/>
    <m/>
    <n v="1.37"/>
  </r>
  <r>
    <x v="2"/>
    <s v="Vegie-spread"/>
    <m/>
    <n v="17696.3"/>
    <n v="445"/>
    <m/>
    <n v="1.31"/>
  </r>
  <r>
    <x v="2"/>
    <s v="LakkalikÃ¶Ã¶ri"/>
    <m/>
    <n v="16794"/>
    <n v="981"/>
    <m/>
    <n v="1.24"/>
  </r>
  <r>
    <x v="2"/>
    <s v="Sirop d'Ã©rable"/>
    <m/>
    <n v="16438.8"/>
    <n v="603"/>
    <m/>
    <n v="1.21"/>
  </r>
  <r>
    <x v="2"/>
    <s v="Gorgonzola Telino"/>
    <m/>
    <n v="16172.5"/>
    <n v="1397"/>
    <m/>
    <n v="1.19"/>
  </r>
  <r>
    <x v="2"/>
    <s v="Schoggi Schokolade"/>
    <m/>
    <n v="15231.5"/>
    <n v="365"/>
    <m/>
    <n v="1.1200000000000001"/>
  </r>
  <r>
    <x v="2"/>
    <s v="Nord-Ost Matjeshering"/>
    <m/>
    <n v="14775.54"/>
    <n v="612"/>
    <m/>
    <n v="1.0900000000000001"/>
  </r>
  <r>
    <x v="2"/>
    <s v="Louisiana Fiery Hot Pepper Sauce"/>
    <m/>
    <n v="14607"/>
    <n v="745"/>
    <m/>
    <n v="1.08"/>
  </r>
  <r>
    <x v="2"/>
    <s v="Inlagd Sill"/>
    <m/>
    <n v="14542.6"/>
    <n v="805"/>
    <m/>
    <n v="1.07"/>
  </r>
  <r>
    <x v="2"/>
    <s v="Steeleye Stout"/>
    <m/>
    <n v="14536.8"/>
    <n v="883"/>
    <m/>
    <n v="1.07"/>
  </r>
  <r>
    <x v="2"/>
    <s v="Chai"/>
    <m/>
    <n v="14277.6"/>
    <n v="828"/>
    <m/>
    <n v="1.05"/>
  </r>
  <r>
    <x v="2"/>
    <s v="Queso Cabrales"/>
    <m/>
    <n v="13902"/>
    <n v="706"/>
    <m/>
    <n v="1.03"/>
  </r>
  <r>
    <x v="2"/>
    <s v="Northwoods Cranberry Sauce"/>
    <m/>
    <n v="13760"/>
    <n v="372"/>
    <m/>
    <n v="1.02"/>
  </r>
  <r>
    <x v="2"/>
    <s v="Chartreuse verte"/>
    <m/>
    <n v="13150.8"/>
    <n v="793"/>
    <m/>
    <n v="0.97"/>
  </r>
  <r>
    <x v="2"/>
    <s v="Queso Manchego La Pastora"/>
    <m/>
    <n v="12866.8"/>
    <n v="344"/>
    <m/>
    <n v="0.95"/>
  </r>
  <r>
    <x v="2"/>
    <s v="Outback Lager"/>
    <m/>
    <n v="11472"/>
    <n v="817"/>
    <m/>
    <n v="0.85"/>
  </r>
  <r>
    <x v="2"/>
    <s v="Gula Malacca"/>
    <m/>
    <n v="10524.2"/>
    <n v="601"/>
    <m/>
    <n v="0.78"/>
  </r>
  <r>
    <x v="2"/>
    <s v="Original Frankfurter grÃ¼ne SoÃŸe"/>
    <m/>
    <n v="9685"/>
    <n v="791"/>
    <m/>
    <n v="0.72"/>
  </r>
  <r>
    <x v="2"/>
    <s v="Sir Rodney's Scones"/>
    <m/>
    <n v="9636"/>
    <n v="1016"/>
    <m/>
    <n v="0.71"/>
  </r>
  <r>
    <x v="2"/>
    <s v="Maxilaku"/>
    <m/>
    <n v="9500"/>
    <n v="520"/>
    <m/>
    <n v="0.7"/>
  </r>
  <r>
    <x v="2"/>
    <s v="Chef Anton's Cajun Seasoning"/>
    <m/>
    <n v="9424.7999999999993"/>
    <n v="453"/>
    <m/>
    <n v="0.7"/>
  </r>
  <r>
    <x v="2"/>
    <s v="Scottish Longbreads"/>
    <m/>
    <n v="9362.5"/>
    <n v="799"/>
    <m/>
    <n v="0.69"/>
  </r>
  <r>
    <x v="2"/>
    <s v="Singaporean Hokkien Fried Mee"/>
    <m/>
    <n v="9332.4"/>
    <n v="697"/>
    <m/>
    <n v="0.69"/>
  </r>
  <r>
    <x v="2"/>
    <s v="Mascarpone Fabioli"/>
    <m/>
    <n v="9171.2000000000007"/>
    <n v="297"/>
    <m/>
    <n v="0.68"/>
  </r>
  <r>
    <x v="2"/>
    <s v="Jack's New England Clam Chowder"/>
    <m/>
    <n v="9098.1"/>
    <n v="981"/>
    <m/>
    <n v="0.67"/>
  </r>
  <r>
    <x v="2"/>
    <s v="Mishi Kobe Niku"/>
    <m/>
    <n v="8827"/>
    <n v="95"/>
    <m/>
    <n v="0.65"/>
  </r>
  <r>
    <x v="2"/>
    <s v="RhÃ¶nbrÃ¤u Klosterbier"/>
    <m/>
    <n v="8650.5499999999993"/>
    <n v="1155"/>
    <m/>
    <n v="0.64"/>
  </r>
  <r>
    <x v="2"/>
    <s v="Tofu"/>
    <m/>
    <n v="8630.4"/>
    <n v="404"/>
    <m/>
    <n v="0.64"/>
  </r>
  <r>
    <x v="2"/>
    <s v="Ravioli Angelo"/>
    <m/>
    <n v="7807.8"/>
    <n v="434"/>
    <m/>
    <n v="0.57999999999999996"/>
  </r>
  <r>
    <x v="2"/>
    <s v="Grandma's Boysenberry Spread"/>
    <m/>
    <n v="7345"/>
    <n v="301"/>
    <m/>
    <n v="0.54"/>
  </r>
  <r>
    <x v="2"/>
    <s v="Gustaf's KnÃ¤ckebrÃ¶d"/>
    <m/>
    <n v="7232.4"/>
    <n v="348"/>
    <m/>
    <n v="0.53"/>
  </r>
  <r>
    <x v="2"/>
    <s v="Sasquatch Ale"/>
    <m/>
    <n v="6678"/>
    <n v="506"/>
    <m/>
    <n v="0.49"/>
  </r>
  <r>
    <x v="2"/>
    <s v="Escargots de Bourgogne"/>
    <m/>
    <n v="6664.75"/>
    <n v="534"/>
    <m/>
    <n v="0.49"/>
  </r>
  <r>
    <x v="2"/>
    <s v="Teatime Chocolate Biscuits"/>
    <m/>
    <n v="6159.5"/>
    <n v="723"/>
    <m/>
    <n v="0.45"/>
  </r>
  <r>
    <x v="2"/>
    <s v="Spegesild"/>
    <m/>
    <n v="6144"/>
    <n v="548"/>
    <m/>
    <n v="0.45"/>
  </r>
  <r>
    <x v="2"/>
    <s v="Chef Anton's Gumbo Mix"/>
    <m/>
    <n v="5801.15"/>
    <n v="298"/>
    <m/>
    <n v="0.43"/>
  </r>
  <r>
    <x v="2"/>
    <s v="Konbu"/>
    <m/>
    <n v="5234.3999999999996"/>
    <n v="891"/>
    <m/>
    <n v="0.39"/>
  </r>
  <r>
    <x v="2"/>
    <s v="TourtiÃ¨re"/>
    <m/>
    <n v="5121"/>
    <n v="755"/>
    <m/>
    <n v="0.38"/>
  </r>
  <r>
    <x v="2"/>
    <s v="TunnbrÃ¶d"/>
    <m/>
    <n v="4840.2"/>
    <n v="580"/>
    <m/>
    <n v="0.36"/>
  </r>
  <r>
    <x v="2"/>
    <s v="GuaranÃ¡ FantÃ¡stica"/>
    <m/>
    <n v="4782.6000000000004"/>
    <n v="1125"/>
    <m/>
    <n v="0.35"/>
  </r>
  <r>
    <x v="2"/>
    <s v="RÃ¸gede sild"/>
    <m/>
    <n v="4740.5"/>
    <n v="508"/>
    <m/>
    <n v="0.35"/>
  </r>
  <r>
    <x v="2"/>
    <s v="Zaanse koeken"/>
    <m/>
    <n v="4358.6000000000004"/>
    <n v="485"/>
    <m/>
    <n v="0.32"/>
  </r>
  <r>
    <x v="2"/>
    <s v="RÃ¶d Kaviar"/>
    <m/>
    <n v="4200"/>
    <n v="293"/>
    <m/>
    <n v="0.31"/>
  </r>
  <r>
    <x v="2"/>
    <s v="NuNuCa NuÃŸ-Nougat-Creme"/>
    <m/>
    <n v="4051.6"/>
    <n v="318"/>
    <m/>
    <n v="0.3"/>
  </r>
  <r>
    <x v="2"/>
    <s v="Louisiana Hot Spiced Okra"/>
    <m/>
    <n v="3519"/>
    <n v="239"/>
    <m/>
    <n v="0.26"/>
  </r>
  <r>
    <x v="2"/>
    <s v="Valkoinen suklaa"/>
    <m/>
    <n v="3510"/>
    <n v="235"/>
    <m/>
    <n v="0.26"/>
  </r>
  <r>
    <x v="2"/>
    <s v="Filo Mix"/>
    <m/>
    <n v="3383.8"/>
    <n v="500"/>
    <m/>
    <n v="0.25"/>
  </r>
  <r>
    <x v="2"/>
    <s v="Aniseed Syrup"/>
    <m/>
    <n v="3080"/>
    <n v="328"/>
    <m/>
    <n v="0.23"/>
  </r>
  <r>
    <x v="2"/>
    <s v="Gravad lax"/>
    <m/>
    <n v="3047.2"/>
    <n v="125"/>
    <m/>
    <n v="0.22"/>
  </r>
  <r>
    <x v="2"/>
    <s v="Longlife Tofu"/>
    <m/>
    <n v="2566"/>
    <n v="297"/>
    <m/>
    <n v="0.19"/>
  </r>
  <r>
    <x v="2"/>
    <s v="Laughing Lumberjack Lager"/>
    <m/>
    <n v="2562"/>
    <n v="184"/>
    <m/>
    <n v="0.19"/>
  </r>
  <r>
    <x v="2"/>
    <s v="Genen Shouyu"/>
    <m/>
    <n v="1813.5"/>
    <n v="122"/>
    <m/>
    <n v="0.13"/>
  </r>
  <r>
    <x v="2"/>
    <s v="Geitost"/>
    <m/>
    <n v="1713.5"/>
    <n v="755"/>
    <m/>
    <n v="0.13"/>
  </r>
  <r>
    <x v="2"/>
    <s v="Chocolade"/>
    <m/>
    <n v="1542.75"/>
    <n v="138"/>
    <m/>
    <n v="0.1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x v="0"/>
    <x v="0"/>
    <n v="1"/>
    <x v="0"/>
    <x v="0"/>
    <x v="0"/>
  </r>
  <r>
    <x v="0"/>
    <x v="0"/>
    <x v="1"/>
    <x v="1"/>
    <n v="2"/>
    <x v="1"/>
    <x v="1"/>
    <x v="0"/>
  </r>
  <r>
    <x v="0"/>
    <x v="0"/>
    <x v="1"/>
    <x v="2"/>
    <n v="2"/>
    <x v="2"/>
    <x v="2"/>
    <x v="1"/>
  </r>
  <r>
    <x v="1"/>
    <x v="1"/>
    <x v="0"/>
    <x v="3"/>
    <n v="4"/>
    <x v="1"/>
    <x v="1"/>
    <x v="0"/>
  </r>
  <r>
    <x v="1"/>
    <x v="1"/>
    <x v="2"/>
    <x v="4"/>
    <n v="4"/>
    <x v="0"/>
    <x v="0"/>
    <x v="0"/>
  </r>
  <r>
    <x v="1"/>
    <x v="1"/>
    <x v="3"/>
    <x v="5"/>
    <n v="4"/>
    <x v="2"/>
    <x v="2"/>
    <x v="0"/>
  </r>
  <r>
    <x v="2"/>
    <x v="2"/>
    <x v="0"/>
    <x v="6"/>
    <n v="2"/>
    <x v="2"/>
    <x v="2"/>
    <x v="0"/>
  </r>
  <r>
    <x v="2"/>
    <x v="2"/>
    <x v="0"/>
    <x v="7"/>
    <n v="2"/>
    <x v="0"/>
    <x v="0"/>
    <x v="1"/>
  </r>
  <r>
    <x v="2"/>
    <x v="2"/>
    <x v="4"/>
    <x v="8"/>
    <n v="2"/>
    <x v="1"/>
    <x v="1"/>
    <x v="0"/>
  </r>
  <r>
    <x v="3"/>
    <x v="3"/>
    <x v="4"/>
    <x v="9"/>
    <n v="5"/>
    <x v="1"/>
    <x v="1"/>
    <x v="0"/>
  </r>
  <r>
    <x v="3"/>
    <x v="3"/>
    <x v="4"/>
    <x v="8"/>
    <n v="4"/>
    <x v="2"/>
    <x v="2"/>
    <x v="1"/>
  </r>
  <r>
    <x v="3"/>
    <x v="3"/>
    <x v="1"/>
    <x v="10"/>
    <n v="4"/>
    <x v="0"/>
    <x v="0"/>
    <x v="0"/>
  </r>
  <r>
    <x v="4"/>
    <x v="4"/>
    <x v="1"/>
    <x v="11"/>
    <n v="2"/>
    <x v="2"/>
    <x v="2"/>
    <x v="0"/>
  </r>
  <r>
    <x v="4"/>
    <x v="4"/>
    <x v="1"/>
    <x v="12"/>
    <n v="2"/>
    <x v="0"/>
    <x v="0"/>
    <x v="1"/>
  </r>
  <r>
    <x v="4"/>
    <x v="4"/>
    <x v="5"/>
    <x v="13"/>
    <n v="2"/>
    <x v="1"/>
    <x v="1"/>
    <x v="0"/>
  </r>
  <r>
    <x v="5"/>
    <x v="5"/>
    <x v="0"/>
    <x v="3"/>
    <n v="2"/>
    <x v="2"/>
    <x v="2"/>
    <x v="0"/>
  </r>
  <r>
    <x v="5"/>
    <x v="5"/>
    <x v="0"/>
    <x v="0"/>
    <n v="2"/>
    <x v="0"/>
    <x v="0"/>
    <x v="1"/>
  </r>
  <r>
    <x v="5"/>
    <x v="5"/>
    <x v="4"/>
    <x v="8"/>
    <n v="4"/>
    <x v="1"/>
    <x v="1"/>
    <x v="0"/>
  </r>
  <r>
    <x v="6"/>
    <x v="6"/>
    <x v="2"/>
    <x v="14"/>
    <n v="3"/>
    <x v="1"/>
    <x v="1"/>
    <x v="0"/>
  </r>
  <r>
    <x v="6"/>
    <x v="6"/>
    <x v="3"/>
    <x v="15"/>
    <n v="3"/>
    <x v="2"/>
    <x v="2"/>
    <x v="0"/>
  </r>
  <r>
    <x v="6"/>
    <x v="6"/>
    <x v="6"/>
    <x v="16"/>
    <n v="3"/>
    <x v="0"/>
    <x v="0"/>
    <x v="0"/>
  </r>
  <r>
    <x v="7"/>
    <x v="7"/>
    <x v="7"/>
    <x v="17"/>
    <n v="2"/>
    <x v="0"/>
    <x v="1"/>
    <x v="0"/>
  </r>
  <r>
    <x v="7"/>
    <x v="8"/>
    <x v="1"/>
    <x v="18"/>
    <n v="3"/>
    <x v="1"/>
    <x v="1"/>
    <x v="0"/>
  </r>
  <r>
    <x v="7"/>
    <x v="9"/>
    <x v="7"/>
    <x v="19"/>
    <n v="3"/>
    <x v="2"/>
    <x v="1"/>
    <x v="0"/>
  </r>
  <r>
    <x v="8"/>
    <x v="10"/>
    <x v="2"/>
    <x v="20"/>
    <n v="4"/>
    <x v="2"/>
    <x v="2"/>
    <x v="0"/>
  </r>
  <r>
    <x v="8"/>
    <x v="10"/>
    <x v="5"/>
    <x v="21"/>
    <n v="4"/>
    <x v="1"/>
    <x v="1"/>
    <x v="0"/>
  </r>
  <r>
    <x v="8"/>
    <x v="11"/>
    <x v="7"/>
    <x v="22"/>
    <n v="3"/>
    <x v="0"/>
    <x v="1"/>
    <x v="0"/>
  </r>
  <r>
    <x v="9"/>
    <x v="12"/>
    <x v="2"/>
    <x v="14"/>
    <n v="4"/>
    <x v="1"/>
    <x v="1"/>
    <x v="0"/>
  </r>
  <r>
    <x v="9"/>
    <x v="12"/>
    <x v="2"/>
    <x v="23"/>
    <n v="3"/>
    <x v="2"/>
    <x v="2"/>
    <x v="1"/>
  </r>
  <r>
    <x v="9"/>
    <x v="12"/>
    <x v="3"/>
    <x v="24"/>
    <n v="3"/>
    <x v="0"/>
    <x v="0"/>
    <x v="0"/>
  </r>
  <r>
    <x v="10"/>
    <x v="13"/>
    <x v="0"/>
    <x v="3"/>
    <n v="2"/>
    <x v="2"/>
    <x v="2"/>
    <x v="0"/>
  </r>
  <r>
    <x v="10"/>
    <x v="13"/>
    <x v="4"/>
    <x v="25"/>
    <n v="2"/>
    <x v="0"/>
    <x v="1"/>
    <x v="0"/>
  </r>
  <r>
    <x v="10"/>
    <x v="14"/>
    <x v="5"/>
    <x v="26"/>
    <n v="2"/>
    <x v="1"/>
    <x v="1"/>
    <x v="0"/>
  </r>
  <r>
    <x v="11"/>
    <x v="15"/>
    <x v="4"/>
    <x v="27"/>
    <n v="3"/>
    <x v="2"/>
    <x v="2"/>
    <x v="0"/>
  </r>
  <r>
    <x v="11"/>
    <x v="15"/>
    <x v="2"/>
    <x v="28"/>
    <n v="4"/>
    <x v="1"/>
    <x v="1"/>
    <x v="0"/>
  </r>
  <r>
    <x v="11"/>
    <x v="15"/>
    <x v="3"/>
    <x v="5"/>
    <n v="3"/>
    <x v="0"/>
    <x v="0"/>
    <x v="0"/>
  </r>
  <r>
    <x v="12"/>
    <x v="16"/>
    <x v="0"/>
    <x v="3"/>
    <n v="2"/>
    <x v="1"/>
    <x v="1"/>
    <x v="0"/>
  </r>
  <r>
    <x v="12"/>
    <x v="16"/>
    <x v="0"/>
    <x v="29"/>
    <n v="1"/>
    <x v="2"/>
    <x v="2"/>
    <x v="1"/>
  </r>
  <r>
    <x v="12"/>
    <x v="16"/>
    <x v="0"/>
    <x v="30"/>
    <n v="1"/>
    <x v="0"/>
    <x v="0"/>
    <x v="2"/>
  </r>
  <r>
    <x v="13"/>
    <x v="17"/>
    <x v="0"/>
    <x v="31"/>
    <n v="2"/>
    <x v="2"/>
    <x v="2"/>
    <x v="0"/>
  </r>
  <r>
    <x v="13"/>
    <x v="17"/>
    <x v="0"/>
    <x v="3"/>
    <n v="1"/>
    <x v="0"/>
    <x v="0"/>
    <x v="1"/>
  </r>
  <r>
    <x v="13"/>
    <x v="17"/>
    <x v="4"/>
    <x v="32"/>
    <n v="2"/>
    <x v="1"/>
    <x v="1"/>
    <x v="0"/>
  </r>
  <r>
    <x v="14"/>
    <x v="18"/>
    <x v="4"/>
    <x v="25"/>
    <n v="2"/>
    <x v="2"/>
    <x v="2"/>
    <x v="0"/>
  </r>
  <r>
    <x v="14"/>
    <x v="18"/>
    <x v="4"/>
    <x v="27"/>
    <n v="2"/>
    <x v="0"/>
    <x v="0"/>
    <x v="1"/>
  </r>
  <r>
    <x v="14"/>
    <x v="18"/>
    <x v="5"/>
    <x v="33"/>
    <n v="3"/>
    <x v="1"/>
    <x v="1"/>
    <x v="0"/>
  </r>
  <r>
    <x v="15"/>
    <x v="19"/>
    <x v="5"/>
    <x v="34"/>
    <n v="2"/>
    <x v="2"/>
    <x v="2"/>
    <x v="0"/>
  </r>
  <r>
    <x v="15"/>
    <x v="19"/>
    <x v="7"/>
    <x v="35"/>
    <n v="3"/>
    <x v="1"/>
    <x v="1"/>
    <x v="0"/>
  </r>
  <r>
    <x v="15"/>
    <x v="20"/>
    <x v="4"/>
    <x v="9"/>
    <n v="2"/>
    <x v="0"/>
    <x v="1"/>
    <x v="0"/>
  </r>
  <r>
    <x v="16"/>
    <x v="21"/>
    <x v="0"/>
    <x v="31"/>
    <n v="3"/>
    <x v="1"/>
    <x v="1"/>
    <x v="0"/>
  </r>
  <r>
    <x v="16"/>
    <x v="21"/>
    <x v="0"/>
    <x v="36"/>
    <n v="3"/>
    <x v="2"/>
    <x v="2"/>
    <x v="1"/>
  </r>
  <r>
    <x v="16"/>
    <x v="21"/>
    <x v="6"/>
    <x v="37"/>
    <n v="3"/>
    <x v="0"/>
    <x v="0"/>
    <x v="0"/>
  </r>
  <r>
    <x v="17"/>
    <x v="22"/>
    <x v="5"/>
    <x v="33"/>
    <n v="2"/>
    <x v="1"/>
    <x v="1"/>
    <x v="0"/>
  </r>
  <r>
    <x v="17"/>
    <x v="22"/>
    <x v="6"/>
    <x v="38"/>
    <n v="2"/>
    <x v="0"/>
    <x v="2"/>
    <x v="0"/>
  </r>
  <r>
    <x v="17"/>
    <x v="23"/>
    <x v="1"/>
    <x v="39"/>
    <n v="2"/>
    <x v="2"/>
    <x v="1"/>
    <x v="0"/>
  </r>
  <r>
    <x v="18"/>
    <x v="24"/>
    <x v="0"/>
    <x v="7"/>
    <n v="4"/>
    <x v="0"/>
    <x v="0"/>
    <x v="0"/>
  </r>
  <r>
    <x v="18"/>
    <x v="24"/>
    <x v="6"/>
    <x v="37"/>
    <n v="4"/>
    <x v="2"/>
    <x v="2"/>
    <x v="0"/>
  </r>
  <r>
    <x v="18"/>
    <x v="24"/>
    <x v="7"/>
    <x v="40"/>
    <n v="4"/>
    <x v="1"/>
    <x v="1"/>
    <x v="0"/>
  </r>
  <r>
    <x v="19"/>
    <x v="25"/>
    <x v="1"/>
    <x v="11"/>
    <n v="4"/>
    <x v="2"/>
    <x v="1"/>
    <x v="0"/>
  </r>
  <r>
    <x v="19"/>
    <x v="26"/>
    <x v="0"/>
    <x v="31"/>
    <n v="4"/>
    <x v="1"/>
    <x v="1"/>
    <x v="0"/>
  </r>
  <r>
    <x v="19"/>
    <x v="26"/>
    <x v="5"/>
    <x v="33"/>
    <n v="4"/>
    <x v="0"/>
    <x v="2"/>
    <x v="0"/>
  </r>
  <r>
    <x v="20"/>
    <x v="27"/>
    <x v="1"/>
    <x v="18"/>
    <n v="2"/>
    <x v="0"/>
    <x v="1"/>
    <x v="0"/>
  </r>
  <r>
    <x v="20"/>
    <x v="28"/>
    <x v="0"/>
    <x v="36"/>
    <n v="3"/>
    <x v="1"/>
    <x v="1"/>
    <x v="0"/>
  </r>
  <r>
    <x v="20"/>
    <x v="28"/>
    <x v="2"/>
    <x v="41"/>
    <n v="3"/>
    <x v="2"/>
    <x v="2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3"/>
  </r>
  <r>
    <x v="0"/>
    <x v="0"/>
    <x v="1"/>
    <n v="1"/>
  </r>
  <r>
    <x v="1"/>
    <x v="1"/>
    <x v="0"/>
    <n v="1"/>
  </r>
  <r>
    <x v="1"/>
    <x v="2"/>
    <x v="0"/>
    <n v="1"/>
  </r>
  <r>
    <x v="1"/>
    <x v="3"/>
    <x v="0"/>
    <n v="1"/>
  </r>
  <r>
    <x v="1"/>
    <x v="3"/>
    <x v="2"/>
    <n v="1"/>
  </r>
  <r>
    <x v="1"/>
    <x v="4"/>
    <x v="3"/>
    <n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"/>
  </r>
  <r>
    <x v="0"/>
    <x v="1"/>
    <n v="1"/>
  </r>
  <r>
    <x v="1"/>
    <x v="0"/>
    <n v="2"/>
  </r>
  <r>
    <x v="1"/>
    <x v="2"/>
    <n v="1"/>
  </r>
  <r>
    <x v="2"/>
    <x v="0"/>
    <n v="2"/>
  </r>
  <r>
    <x v="2"/>
    <x v="3"/>
    <n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"/>
  </r>
  <r>
    <x v="1"/>
    <x v="1"/>
    <n v="1"/>
  </r>
  <r>
    <x v="2"/>
    <x v="0"/>
    <n v="3"/>
  </r>
  <r>
    <x v="2"/>
    <x v="1"/>
    <n v="2"/>
  </r>
  <r>
    <x v="2"/>
    <x v="2"/>
    <n v="1"/>
  </r>
  <r>
    <x v="3"/>
    <x v="3"/>
    <n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x v="0"/>
    <n v="263.5"/>
    <n v="17"/>
    <n v="623"/>
    <n v="149984.20000000001"/>
  </r>
  <r>
    <x v="1"/>
    <x v="1"/>
    <n v="123.79"/>
    <n v="0"/>
    <n v="746"/>
    <n v="87736.4"/>
  </r>
  <r>
    <x v="2"/>
    <x v="2"/>
    <n v="55"/>
    <n v="79"/>
    <n v="1496"/>
    <n v="76296"/>
  </r>
  <r>
    <x v="3"/>
    <x v="3"/>
    <n v="34"/>
    <n v="19"/>
    <n v="1577"/>
    <n v="50286"/>
  </r>
  <r>
    <x v="4"/>
    <x v="4"/>
    <n v="49.3"/>
    <n v="17"/>
    <n v="1083"/>
    <n v="49827.9"/>
  </r>
  <r>
    <x v="5"/>
    <x v="5"/>
    <n v="38"/>
    <n v="21"/>
    <n v="1263"/>
    <n v="45121.2"/>
  </r>
  <r>
    <x v="6"/>
    <x v="6"/>
    <n v="53"/>
    <n v="20"/>
    <n v="886"/>
    <n v="44742.6"/>
  </r>
  <r>
    <x v="7"/>
    <x v="7"/>
    <n v="39"/>
    <n v="0"/>
    <n v="978"/>
    <n v="35482.199999999997"/>
  </r>
  <r>
    <x v="8"/>
    <x v="8"/>
    <n v="62.5"/>
    <n v="42"/>
    <n v="539"/>
    <n v="31987.5"/>
  </r>
  <r>
    <x v="9"/>
    <x v="9"/>
    <n v="45.6"/>
    <n v="26"/>
    <n v="640"/>
    <n v="26865.599999999999"/>
  </r>
  <r>
    <x v="10"/>
    <x v="10"/>
    <n v="34.799999999999997"/>
    <n v="14"/>
    <n v="806"/>
    <n v="25738.799999999999"/>
  </r>
  <r>
    <x v="11"/>
    <x v="11"/>
    <n v="46"/>
    <n v="17"/>
    <n v="580"/>
    <n v="25079.200000000001"/>
  </r>
  <r>
    <x v="12"/>
    <x v="12"/>
    <n v="36"/>
    <n v="26"/>
    <n v="714"/>
    <n v="24307.200000000001"/>
  </r>
  <r>
    <x v="13"/>
    <x v="13"/>
    <n v="81"/>
    <n v="40"/>
    <n v="313"/>
    <n v="23635.8"/>
  </r>
  <r>
    <x v="14"/>
    <x v="14"/>
    <n v="33.25"/>
    <n v="22"/>
    <n v="740"/>
    <n v="23009"/>
  </r>
  <r>
    <x v="15"/>
    <x v="15"/>
    <n v="30"/>
    <n v="15"/>
    <n v="763"/>
    <n v="22464"/>
  </r>
  <r>
    <x v="16"/>
    <x v="16"/>
    <n v="31"/>
    <n v="31"/>
    <n v="742"/>
    <n v="22140.2"/>
  </r>
  <r>
    <x v="17"/>
    <x v="17"/>
    <n v="31.23"/>
    <n v="15"/>
    <n v="753"/>
    <n v="21534.9"/>
  </r>
  <r>
    <x v="18"/>
    <x v="18"/>
    <n v="32.799999999999997"/>
    <n v="0"/>
    <n v="722"/>
    <n v="21510.2"/>
  </r>
  <r>
    <x v="19"/>
    <x v="19"/>
    <n v="21.5"/>
    <n v="26"/>
    <n v="1057"/>
    <n v="20876.5"/>
  </r>
  <r>
    <x v="20"/>
    <x v="20"/>
    <n v="24"/>
    <n v="115"/>
    <n v="903"/>
    <n v="19512"/>
  </r>
  <r>
    <x v="21"/>
    <x v="21"/>
    <n v="18.399999999999999"/>
    <n v="123"/>
    <n v="1103"/>
    <n v="19048.3"/>
  </r>
  <r>
    <x v="22"/>
    <x v="22"/>
    <n v="17.45"/>
    <n v="29"/>
    <n v="1158"/>
    <n v="18748.05"/>
  </r>
  <r>
    <x v="23"/>
    <x v="23"/>
    <n v="19"/>
    <n v="17"/>
    <n v="1057"/>
    <n v="18559.2"/>
  </r>
  <r>
    <x v="24"/>
    <x v="24"/>
    <n v="43.9"/>
    <n v="24"/>
    <n v="445"/>
    <n v="17696.3"/>
  </r>
  <r>
    <x v="25"/>
    <x v="25"/>
    <n v="18"/>
    <n v="57"/>
    <n v="981"/>
    <n v="16794"/>
  </r>
  <r>
    <x v="26"/>
    <x v="26"/>
    <n v="28.5"/>
    <n v="113"/>
    <n v="603"/>
    <n v="16438.8"/>
  </r>
  <r>
    <x v="27"/>
    <x v="27"/>
    <n v="12.5"/>
    <n v="0"/>
    <n v="1397"/>
    <n v="16172.5"/>
  </r>
  <r>
    <x v="28"/>
    <x v="28"/>
    <n v="43.9"/>
    <n v="49"/>
    <n v="365"/>
    <n v="15231.5"/>
  </r>
  <r>
    <x v="29"/>
    <x v="29"/>
    <n v="25.89"/>
    <n v="10"/>
    <n v="612"/>
    <n v="14775.54"/>
  </r>
  <r>
    <x v="30"/>
    <x v="30"/>
    <n v="21.05"/>
    <n v="76"/>
    <n v="745"/>
    <n v="14607"/>
  </r>
  <r>
    <x v="31"/>
    <x v="31"/>
    <n v="19"/>
    <n v="112"/>
    <n v="805"/>
    <n v="14542.6"/>
  </r>
  <r>
    <x v="32"/>
    <x v="32"/>
    <n v="18"/>
    <n v="20"/>
    <n v="883"/>
    <n v="14536.8"/>
  </r>
  <r>
    <x v="33"/>
    <x v="33"/>
    <n v="18"/>
    <n v="39"/>
    <n v="828"/>
    <n v="14277.6"/>
  </r>
  <r>
    <x v="34"/>
    <x v="34"/>
    <n v="21"/>
    <n v="22"/>
    <n v="706"/>
    <n v="13902"/>
  </r>
  <r>
    <x v="35"/>
    <x v="35"/>
    <n v="40"/>
    <n v="6"/>
    <n v="372"/>
    <n v="13760"/>
  </r>
  <r>
    <x v="36"/>
    <x v="36"/>
    <n v="18"/>
    <n v="69"/>
    <n v="793"/>
    <n v="13150.8"/>
  </r>
  <r>
    <x v="37"/>
    <x v="37"/>
    <n v="38"/>
    <n v="86"/>
    <n v="344"/>
    <n v="12866.8"/>
  </r>
  <r>
    <x v="38"/>
    <x v="38"/>
    <n v="15"/>
    <n v="15"/>
    <n v="817"/>
    <n v="11472"/>
  </r>
  <r>
    <x v="39"/>
    <x v="39"/>
    <n v="19.45"/>
    <n v="27"/>
    <n v="601"/>
    <n v="10524.2"/>
  </r>
  <r>
    <x v="40"/>
    <x v="40"/>
    <n v="13"/>
    <n v="32"/>
    <n v="791"/>
    <n v="9685"/>
  </r>
  <r>
    <x v="41"/>
    <x v="41"/>
    <n v="10"/>
    <n v="3"/>
    <n v="1016"/>
    <n v="9636"/>
  </r>
  <r>
    <x v="42"/>
    <x v="42"/>
    <n v="20"/>
    <n v="10"/>
    <n v="520"/>
    <n v="9500"/>
  </r>
  <r>
    <x v="43"/>
    <x v="43"/>
    <n v="22"/>
    <n v="53"/>
    <n v="453"/>
    <n v="9424.7999999999993"/>
  </r>
  <r>
    <x v="44"/>
    <x v="44"/>
    <n v="12.5"/>
    <n v="6"/>
    <n v="799"/>
    <n v="9362.5"/>
  </r>
  <r>
    <x v="45"/>
    <x v="45"/>
    <n v="14"/>
    <n v="26"/>
    <n v="697"/>
    <n v="9332.4"/>
  </r>
  <r>
    <x v="46"/>
    <x v="46"/>
    <n v="32"/>
    <n v="9"/>
    <n v="297"/>
    <n v="9171.2000000000007"/>
  </r>
  <r>
    <x v="47"/>
    <x v="47"/>
    <n v="9.65"/>
    <n v="85"/>
    <n v="981"/>
    <n v="9098.1"/>
  </r>
  <r>
    <x v="48"/>
    <x v="48"/>
    <n v="97"/>
    <n v="29"/>
    <n v="95"/>
    <n v="8827"/>
  </r>
  <r>
    <x v="49"/>
    <x v="49"/>
    <n v="7.75"/>
    <n v="125"/>
    <n v="1155"/>
    <n v="8650.5499999999993"/>
  </r>
  <r>
    <x v="50"/>
    <x v="50"/>
    <n v="23.25"/>
    <n v="35"/>
    <n v="404"/>
    <n v="8630.4"/>
  </r>
  <r>
    <x v="51"/>
    <x v="51"/>
    <n v="19.5"/>
    <n v="36"/>
    <n v="434"/>
    <n v="7807.8"/>
  </r>
  <r>
    <x v="52"/>
    <x v="52"/>
    <n v="25"/>
    <n v="120"/>
    <n v="301"/>
    <n v="7345"/>
  </r>
  <r>
    <x v="53"/>
    <x v="53"/>
    <n v="21"/>
    <n v="104"/>
    <n v="348"/>
    <n v="7232.4"/>
  </r>
  <r>
    <x v="54"/>
    <x v="54"/>
    <n v="14"/>
    <n v="111"/>
    <n v="506"/>
    <n v="6678"/>
  </r>
  <r>
    <x v="55"/>
    <x v="55"/>
    <n v="13.25"/>
    <n v="62"/>
    <n v="534"/>
    <n v="6664.75"/>
  </r>
  <r>
    <x v="56"/>
    <x v="56"/>
    <n v="9.1999999999999993"/>
    <n v="25"/>
    <n v="723"/>
    <n v="6159.5"/>
  </r>
  <r>
    <x v="57"/>
    <x v="57"/>
    <n v="12"/>
    <n v="95"/>
    <n v="548"/>
    <n v="6144"/>
  </r>
  <r>
    <x v="58"/>
    <x v="58"/>
    <n v="21.35"/>
    <n v="0"/>
    <n v="298"/>
    <n v="5801.15"/>
  </r>
  <r>
    <x v="59"/>
    <x v="59"/>
    <n v="6"/>
    <n v="24"/>
    <n v="891"/>
    <n v="5234.3999999999996"/>
  </r>
  <r>
    <x v="60"/>
    <x v="60"/>
    <n v="7.45"/>
    <n v="21"/>
    <n v="755"/>
    <n v="5121"/>
  </r>
  <r>
    <x v="61"/>
    <x v="61"/>
    <n v="9"/>
    <n v="61"/>
    <n v="580"/>
    <n v="4840.2"/>
  </r>
  <r>
    <x v="62"/>
    <x v="62"/>
    <n v="4.5"/>
    <n v="20"/>
    <n v="1125"/>
    <n v="4782.6000000000004"/>
  </r>
  <r>
    <x v="63"/>
    <x v="63"/>
    <n v="9.5"/>
    <n v="5"/>
    <n v="508"/>
    <n v="4740.5"/>
  </r>
  <r>
    <x v="64"/>
    <x v="64"/>
    <n v="9.5"/>
    <n v="36"/>
    <n v="485"/>
    <n v="4358.6000000000004"/>
  </r>
  <r>
    <x v="65"/>
    <x v="65"/>
    <n v="15"/>
    <n v="101"/>
    <n v="293"/>
    <n v="4200"/>
  </r>
  <r>
    <x v="66"/>
    <x v="66"/>
    <n v="14"/>
    <n v="76"/>
    <n v="318"/>
    <n v="4051.6"/>
  </r>
  <r>
    <x v="67"/>
    <x v="67"/>
    <n v="17"/>
    <n v="4"/>
    <n v="239"/>
    <n v="3519"/>
  </r>
  <r>
    <x v="68"/>
    <x v="68"/>
    <n v="16.25"/>
    <n v="65"/>
    <n v="235"/>
    <n v="3510"/>
  </r>
  <r>
    <x v="69"/>
    <x v="69"/>
    <n v="7"/>
    <n v="38"/>
    <n v="500"/>
    <n v="3383.8"/>
  </r>
  <r>
    <x v="70"/>
    <x v="70"/>
    <n v="10"/>
    <n v="13"/>
    <n v="328"/>
    <n v="3080"/>
  </r>
  <r>
    <x v="71"/>
    <x v="71"/>
    <n v="26"/>
    <n v="11"/>
    <n v="125"/>
    <n v="3047.2"/>
  </r>
  <r>
    <x v="72"/>
    <x v="72"/>
    <n v="10"/>
    <n v="4"/>
    <n v="297"/>
    <n v="2566"/>
  </r>
  <r>
    <x v="73"/>
    <x v="73"/>
    <n v="14"/>
    <n v="52"/>
    <n v="184"/>
    <n v="2562"/>
  </r>
  <r>
    <x v="74"/>
    <x v="74"/>
    <n v="15.5"/>
    <n v="39"/>
    <n v="122"/>
    <n v="1813.5"/>
  </r>
  <r>
    <x v="75"/>
    <x v="75"/>
    <n v="2.5"/>
    <n v="112"/>
    <n v="755"/>
    <n v="1713.5"/>
  </r>
  <r>
    <x v="76"/>
    <x v="76"/>
    <n v="12.75"/>
    <n v="15"/>
    <n v="138"/>
    <n v="1542.7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105"/>
  </r>
  <r>
    <x v="0"/>
    <x v="0"/>
    <x v="1"/>
    <n v="100"/>
  </r>
  <r>
    <x v="0"/>
    <x v="0"/>
    <x v="2"/>
    <n v="95"/>
  </r>
  <r>
    <x v="0"/>
    <x v="0"/>
    <x v="3"/>
    <n v="85"/>
  </r>
  <r>
    <x v="0"/>
    <x v="0"/>
    <x v="4"/>
    <n v="77"/>
  </r>
  <r>
    <x v="0"/>
    <x v="0"/>
    <x v="5"/>
    <n v="75"/>
  </r>
  <r>
    <x v="0"/>
    <x v="0"/>
    <x v="6"/>
    <n v="65"/>
  </r>
  <r>
    <x v="0"/>
    <x v="0"/>
    <x v="7"/>
    <n v="60"/>
  </r>
  <r>
    <x v="0"/>
    <x v="0"/>
    <x v="8"/>
    <n v="57"/>
  </r>
  <r>
    <x v="0"/>
    <x v="0"/>
    <x v="9"/>
    <n v="51"/>
  </r>
  <r>
    <x v="0"/>
    <x v="0"/>
    <x v="10"/>
    <n v="50"/>
  </r>
  <r>
    <x v="0"/>
    <x v="0"/>
    <x v="11"/>
    <n v="48"/>
  </r>
  <r>
    <x v="0"/>
    <x v="0"/>
    <x v="12"/>
    <n v="43"/>
  </r>
  <r>
    <x v="0"/>
    <x v="0"/>
    <x v="13"/>
    <n v="41"/>
  </r>
  <r>
    <x v="0"/>
    <x v="0"/>
    <x v="14"/>
    <n v="40"/>
  </r>
  <r>
    <x v="0"/>
    <x v="0"/>
    <x v="15"/>
    <n v="40"/>
  </r>
  <r>
    <x v="0"/>
    <x v="0"/>
    <x v="16"/>
    <n v="40"/>
  </r>
  <r>
    <x v="0"/>
    <x v="0"/>
    <x v="17"/>
    <n v="35"/>
  </r>
  <r>
    <x v="0"/>
    <x v="0"/>
    <x v="18"/>
    <n v="30"/>
  </r>
  <r>
    <x v="0"/>
    <x v="0"/>
    <x v="19"/>
    <n v="30"/>
  </r>
  <r>
    <x v="0"/>
    <x v="0"/>
    <x v="20"/>
    <n v="29"/>
  </r>
  <r>
    <x v="0"/>
    <x v="0"/>
    <x v="21"/>
    <n v="27"/>
  </r>
  <r>
    <x v="0"/>
    <x v="0"/>
    <x v="22"/>
    <n v="25"/>
  </r>
  <r>
    <x v="0"/>
    <x v="0"/>
    <x v="23"/>
    <n v="25"/>
  </r>
  <r>
    <x v="0"/>
    <x v="0"/>
    <x v="24"/>
    <n v="21"/>
  </r>
  <r>
    <x v="0"/>
    <x v="0"/>
    <x v="25"/>
    <n v="20"/>
  </r>
  <r>
    <x v="0"/>
    <x v="0"/>
    <x v="26"/>
    <n v="20"/>
  </r>
  <r>
    <x v="0"/>
    <x v="0"/>
    <x v="27"/>
    <n v="15"/>
  </r>
  <r>
    <x v="0"/>
    <x v="0"/>
    <x v="28"/>
    <n v="15"/>
  </r>
  <r>
    <x v="0"/>
    <x v="0"/>
    <x v="29"/>
    <n v="15"/>
  </r>
  <r>
    <x v="0"/>
    <x v="0"/>
    <x v="30"/>
    <n v="15"/>
  </r>
  <r>
    <x v="0"/>
    <x v="0"/>
    <x v="31"/>
    <n v="12"/>
  </r>
  <r>
    <x v="0"/>
    <x v="0"/>
    <x v="32"/>
    <n v="12"/>
  </r>
  <r>
    <x v="0"/>
    <x v="0"/>
    <x v="33"/>
    <n v="10"/>
  </r>
  <r>
    <x v="0"/>
    <x v="0"/>
    <x v="34"/>
    <n v="10"/>
  </r>
  <r>
    <x v="0"/>
    <x v="0"/>
    <x v="35"/>
    <n v="9"/>
  </r>
  <r>
    <x v="0"/>
    <x v="0"/>
    <x v="36"/>
    <n v="6"/>
  </r>
  <r>
    <x v="0"/>
    <x v="0"/>
    <x v="37"/>
    <n v="6"/>
  </r>
  <r>
    <x v="0"/>
    <x v="0"/>
    <x v="38"/>
    <n v="2"/>
  </r>
  <r>
    <x v="0"/>
    <x v="0"/>
    <x v="39"/>
    <n v="1"/>
  </r>
  <r>
    <x v="0"/>
    <x v="1"/>
    <x v="26"/>
    <n v="104"/>
  </r>
  <r>
    <x v="0"/>
    <x v="1"/>
    <x v="10"/>
    <n v="100"/>
  </r>
  <r>
    <x v="0"/>
    <x v="1"/>
    <x v="14"/>
    <n v="76"/>
  </r>
  <r>
    <x v="0"/>
    <x v="1"/>
    <x v="40"/>
    <n v="63"/>
  </r>
  <r>
    <x v="0"/>
    <x v="1"/>
    <x v="41"/>
    <n v="61"/>
  </r>
  <r>
    <x v="0"/>
    <x v="1"/>
    <x v="25"/>
    <n v="55"/>
  </r>
  <r>
    <x v="0"/>
    <x v="1"/>
    <x v="28"/>
    <n v="52"/>
  </r>
  <r>
    <x v="0"/>
    <x v="1"/>
    <x v="3"/>
    <n v="44"/>
  </r>
  <r>
    <x v="0"/>
    <x v="1"/>
    <x v="42"/>
    <n v="42"/>
  </r>
  <r>
    <x v="0"/>
    <x v="1"/>
    <x v="43"/>
    <n v="40"/>
  </r>
  <r>
    <x v="0"/>
    <x v="1"/>
    <x v="12"/>
    <n v="40"/>
  </r>
  <r>
    <x v="0"/>
    <x v="1"/>
    <x v="2"/>
    <n v="40"/>
  </r>
  <r>
    <x v="0"/>
    <x v="1"/>
    <x v="44"/>
    <n v="39"/>
  </r>
  <r>
    <x v="0"/>
    <x v="1"/>
    <x v="27"/>
    <n v="36"/>
  </r>
  <r>
    <x v="0"/>
    <x v="1"/>
    <x v="20"/>
    <n v="34"/>
  </r>
  <r>
    <x v="0"/>
    <x v="1"/>
    <x v="30"/>
    <n v="33"/>
  </r>
  <r>
    <x v="0"/>
    <x v="1"/>
    <x v="22"/>
    <n v="30"/>
  </r>
  <r>
    <x v="0"/>
    <x v="1"/>
    <x v="45"/>
    <n v="30"/>
  </r>
  <r>
    <x v="0"/>
    <x v="1"/>
    <x v="19"/>
    <n v="30"/>
  </r>
  <r>
    <x v="0"/>
    <x v="1"/>
    <x v="46"/>
    <n v="30"/>
  </r>
  <r>
    <x v="0"/>
    <x v="1"/>
    <x v="15"/>
    <n v="26"/>
  </r>
  <r>
    <x v="0"/>
    <x v="1"/>
    <x v="47"/>
    <n v="25"/>
  </r>
  <r>
    <x v="0"/>
    <x v="1"/>
    <x v="1"/>
    <n v="21"/>
  </r>
  <r>
    <x v="0"/>
    <x v="1"/>
    <x v="48"/>
    <n v="20"/>
  </r>
  <r>
    <x v="0"/>
    <x v="1"/>
    <x v="49"/>
    <n v="20"/>
  </r>
  <r>
    <x v="0"/>
    <x v="1"/>
    <x v="24"/>
    <n v="20"/>
  </r>
  <r>
    <x v="0"/>
    <x v="1"/>
    <x v="50"/>
    <n v="20"/>
  </r>
  <r>
    <x v="0"/>
    <x v="1"/>
    <x v="51"/>
    <n v="20"/>
  </r>
  <r>
    <x v="0"/>
    <x v="1"/>
    <x v="4"/>
    <n v="20"/>
  </r>
  <r>
    <x v="0"/>
    <x v="1"/>
    <x v="52"/>
    <n v="19"/>
  </r>
  <r>
    <x v="0"/>
    <x v="1"/>
    <x v="23"/>
    <n v="15"/>
  </r>
  <r>
    <x v="0"/>
    <x v="1"/>
    <x v="53"/>
    <n v="15"/>
  </r>
  <r>
    <x v="0"/>
    <x v="1"/>
    <x v="16"/>
    <n v="15"/>
  </r>
  <r>
    <x v="0"/>
    <x v="1"/>
    <x v="34"/>
    <n v="15"/>
  </r>
  <r>
    <x v="0"/>
    <x v="1"/>
    <x v="54"/>
    <n v="13"/>
  </r>
  <r>
    <x v="0"/>
    <x v="1"/>
    <x v="55"/>
    <n v="12"/>
  </r>
  <r>
    <x v="0"/>
    <x v="1"/>
    <x v="56"/>
    <n v="10"/>
  </r>
  <r>
    <x v="0"/>
    <x v="1"/>
    <x v="21"/>
    <n v="10"/>
  </r>
  <r>
    <x v="0"/>
    <x v="1"/>
    <x v="57"/>
    <n v="9"/>
  </r>
  <r>
    <x v="0"/>
    <x v="1"/>
    <x v="7"/>
    <n v="6"/>
  </r>
  <r>
    <x v="0"/>
    <x v="1"/>
    <x v="58"/>
    <n v="5"/>
  </r>
  <r>
    <x v="0"/>
    <x v="1"/>
    <x v="59"/>
    <n v="3"/>
  </r>
  <r>
    <x v="0"/>
    <x v="1"/>
    <x v="6"/>
    <n v="2"/>
  </r>
  <r>
    <x v="0"/>
    <x v="1"/>
    <x v="5"/>
    <n v="2"/>
  </r>
  <r>
    <x v="0"/>
    <x v="2"/>
    <x v="28"/>
    <n v="125"/>
  </r>
  <r>
    <x v="0"/>
    <x v="2"/>
    <x v="11"/>
    <n v="90"/>
  </r>
  <r>
    <x v="0"/>
    <x v="2"/>
    <x v="43"/>
    <n v="56"/>
  </r>
  <r>
    <x v="0"/>
    <x v="2"/>
    <x v="13"/>
    <n v="55"/>
  </r>
  <r>
    <x v="0"/>
    <x v="2"/>
    <x v="22"/>
    <n v="52"/>
  </r>
  <r>
    <x v="0"/>
    <x v="2"/>
    <x v="10"/>
    <n v="50"/>
  </r>
  <r>
    <x v="0"/>
    <x v="2"/>
    <x v="2"/>
    <n v="40"/>
  </r>
  <r>
    <x v="0"/>
    <x v="2"/>
    <x v="1"/>
    <n v="40"/>
  </r>
  <r>
    <x v="0"/>
    <x v="2"/>
    <x v="0"/>
    <n v="40"/>
  </r>
  <r>
    <x v="0"/>
    <x v="2"/>
    <x v="19"/>
    <n v="40"/>
  </r>
  <r>
    <x v="0"/>
    <x v="2"/>
    <x v="37"/>
    <n v="40"/>
  </r>
  <r>
    <x v="0"/>
    <x v="2"/>
    <x v="59"/>
    <n v="38"/>
  </r>
  <r>
    <x v="0"/>
    <x v="2"/>
    <x v="49"/>
    <n v="32"/>
  </r>
  <r>
    <x v="0"/>
    <x v="2"/>
    <x v="60"/>
    <n v="30"/>
  </r>
  <r>
    <x v="0"/>
    <x v="2"/>
    <x v="17"/>
    <n v="30"/>
  </r>
  <r>
    <x v="0"/>
    <x v="2"/>
    <x v="16"/>
    <n v="30"/>
  </r>
  <r>
    <x v="0"/>
    <x v="2"/>
    <x v="27"/>
    <n v="30"/>
  </r>
  <r>
    <x v="0"/>
    <x v="2"/>
    <x v="61"/>
    <n v="30"/>
  </r>
  <r>
    <x v="0"/>
    <x v="2"/>
    <x v="62"/>
    <n v="30"/>
  </r>
  <r>
    <x v="0"/>
    <x v="2"/>
    <x v="34"/>
    <n v="25"/>
  </r>
  <r>
    <x v="0"/>
    <x v="2"/>
    <x v="55"/>
    <n v="25"/>
  </r>
  <r>
    <x v="0"/>
    <x v="2"/>
    <x v="38"/>
    <n v="24"/>
  </r>
  <r>
    <x v="0"/>
    <x v="2"/>
    <x v="63"/>
    <n v="23"/>
  </r>
  <r>
    <x v="0"/>
    <x v="2"/>
    <x v="20"/>
    <n v="20"/>
  </r>
  <r>
    <x v="0"/>
    <x v="2"/>
    <x v="64"/>
    <n v="20"/>
  </r>
  <r>
    <x v="0"/>
    <x v="2"/>
    <x v="40"/>
    <n v="20"/>
  </r>
  <r>
    <x v="0"/>
    <x v="2"/>
    <x v="52"/>
    <n v="15"/>
  </r>
  <r>
    <x v="0"/>
    <x v="2"/>
    <x v="51"/>
    <n v="14"/>
  </r>
  <r>
    <x v="0"/>
    <x v="2"/>
    <x v="31"/>
    <n v="12"/>
  </r>
  <r>
    <x v="0"/>
    <x v="2"/>
    <x v="7"/>
    <n v="10"/>
  </r>
  <r>
    <x v="0"/>
    <x v="2"/>
    <x v="42"/>
    <n v="10"/>
  </r>
  <r>
    <x v="0"/>
    <x v="2"/>
    <x v="9"/>
    <n v="10"/>
  </r>
  <r>
    <x v="0"/>
    <x v="2"/>
    <x v="33"/>
    <n v="8"/>
  </r>
  <r>
    <x v="0"/>
    <x v="2"/>
    <x v="48"/>
    <n v="5"/>
  </r>
  <r>
    <x v="0"/>
    <x v="2"/>
    <x v="56"/>
    <n v="5"/>
  </r>
  <r>
    <x v="0"/>
    <x v="3"/>
    <x v="19"/>
    <n v="98"/>
  </r>
  <r>
    <x v="0"/>
    <x v="3"/>
    <x v="20"/>
    <n v="90"/>
  </r>
  <r>
    <x v="0"/>
    <x v="3"/>
    <x v="25"/>
    <n v="85"/>
  </r>
  <r>
    <x v="0"/>
    <x v="3"/>
    <x v="26"/>
    <n v="80"/>
  </r>
  <r>
    <x v="0"/>
    <x v="3"/>
    <x v="54"/>
    <n v="80"/>
  </r>
  <r>
    <x v="0"/>
    <x v="3"/>
    <x v="65"/>
    <n v="74"/>
  </r>
  <r>
    <x v="0"/>
    <x v="3"/>
    <x v="48"/>
    <n v="70"/>
  </r>
  <r>
    <x v="0"/>
    <x v="3"/>
    <x v="55"/>
    <n v="60"/>
  </r>
  <r>
    <x v="0"/>
    <x v="3"/>
    <x v="22"/>
    <n v="60"/>
  </r>
  <r>
    <x v="0"/>
    <x v="3"/>
    <x v="1"/>
    <n v="58"/>
  </r>
  <r>
    <x v="0"/>
    <x v="3"/>
    <x v="7"/>
    <n v="58"/>
  </r>
  <r>
    <x v="0"/>
    <x v="3"/>
    <x v="0"/>
    <n v="56"/>
  </r>
  <r>
    <x v="0"/>
    <x v="3"/>
    <x v="64"/>
    <n v="52"/>
  </r>
  <r>
    <x v="0"/>
    <x v="3"/>
    <x v="42"/>
    <n v="50"/>
  </r>
  <r>
    <x v="0"/>
    <x v="3"/>
    <x v="31"/>
    <n v="50"/>
  </r>
  <r>
    <x v="0"/>
    <x v="3"/>
    <x v="5"/>
    <n v="48"/>
  </r>
  <r>
    <x v="0"/>
    <x v="3"/>
    <x v="17"/>
    <n v="40"/>
  </r>
  <r>
    <x v="0"/>
    <x v="3"/>
    <x v="66"/>
    <n v="40"/>
  </r>
  <r>
    <x v="0"/>
    <x v="3"/>
    <x v="43"/>
    <n v="40"/>
  </r>
  <r>
    <x v="0"/>
    <x v="3"/>
    <x v="24"/>
    <n v="40"/>
  </r>
  <r>
    <x v="0"/>
    <x v="3"/>
    <x v="30"/>
    <n v="36"/>
  </r>
  <r>
    <x v="0"/>
    <x v="3"/>
    <x v="9"/>
    <n v="32"/>
  </r>
  <r>
    <x v="0"/>
    <x v="3"/>
    <x v="53"/>
    <n v="30"/>
  </r>
  <r>
    <x v="0"/>
    <x v="3"/>
    <x v="62"/>
    <n v="30"/>
  </r>
  <r>
    <x v="0"/>
    <x v="3"/>
    <x v="67"/>
    <n v="28"/>
  </r>
  <r>
    <x v="0"/>
    <x v="3"/>
    <x v="39"/>
    <n v="28"/>
  </r>
  <r>
    <x v="0"/>
    <x v="3"/>
    <x v="28"/>
    <n v="28"/>
  </r>
  <r>
    <x v="0"/>
    <x v="3"/>
    <x v="2"/>
    <n v="21"/>
  </r>
  <r>
    <x v="0"/>
    <x v="3"/>
    <x v="59"/>
    <n v="20"/>
  </r>
  <r>
    <x v="0"/>
    <x v="3"/>
    <x v="68"/>
    <n v="20"/>
  </r>
  <r>
    <x v="0"/>
    <x v="3"/>
    <x v="35"/>
    <n v="19"/>
  </r>
  <r>
    <x v="0"/>
    <x v="3"/>
    <x v="6"/>
    <n v="16"/>
  </r>
  <r>
    <x v="0"/>
    <x v="3"/>
    <x v="69"/>
    <n v="16"/>
  </r>
  <r>
    <x v="0"/>
    <x v="3"/>
    <x v="56"/>
    <n v="15"/>
  </r>
  <r>
    <x v="0"/>
    <x v="3"/>
    <x v="49"/>
    <n v="14"/>
  </r>
  <r>
    <x v="0"/>
    <x v="3"/>
    <x v="45"/>
    <n v="12"/>
  </r>
  <r>
    <x v="0"/>
    <x v="3"/>
    <x v="38"/>
    <n v="12"/>
  </r>
  <r>
    <x v="0"/>
    <x v="3"/>
    <x v="52"/>
    <n v="10"/>
  </r>
  <r>
    <x v="0"/>
    <x v="3"/>
    <x v="33"/>
    <n v="10"/>
  </r>
  <r>
    <x v="0"/>
    <x v="3"/>
    <x v="18"/>
    <n v="10"/>
  </r>
  <r>
    <x v="0"/>
    <x v="3"/>
    <x v="3"/>
    <n v="8"/>
  </r>
  <r>
    <x v="0"/>
    <x v="3"/>
    <x v="61"/>
    <n v="6"/>
  </r>
  <r>
    <x v="0"/>
    <x v="3"/>
    <x v="37"/>
    <n v="6"/>
  </r>
  <r>
    <x v="0"/>
    <x v="3"/>
    <x v="50"/>
    <n v="5"/>
  </r>
  <r>
    <x v="0"/>
    <x v="3"/>
    <x v="11"/>
    <n v="4"/>
  </r>
  <r>
    <x v="0"/>
    <x v="3"/>
    <x v="70"/>
    <n v="4"/>
  </r>
  <r>
    <x v="0"/>
    <x v="4"/>
    <x v="14"/>
    <n v="143"/>
  </r>
  <r>
    <x v="0"/>
    <x v="4"/>
    <x v="71"/>
    <n v="140"/>
  </r>
  <r>
    <x v="0"/>
    <x v="4"/>
    <x v="25"/>
    <n v="120"/>
  </r>
  <r>
    <x v="0"/>
    <x v="4"/>
    <x v="56"/>
    <n v="114"/>
  </r>
  <r>
    <x v="0"/>
    <x v="4"/>
    <x v="11"/>
    <n v="104"/>
  </r>
  <r>
    <x v="0"/>
    <x v="4"/>
    <x v="57"/>
    <n v="85"/>
  </r>
  <r>
    <x v="0"/>
    <x v="4"/>
    <x v="52"/>
    <n v="80"/>
  </r>
  <r>
    <x v="0"/>
    <x v="4"/>
    <x v="68"/>
    <n v="80"/>
  </r>
  <r>
    <x v="0"/>
    <x v="4"/>
    <x v="41"/>
    <n v="77"/>
  </r>
  <r>
    <x v="0"/>
    <x v="4"/>
    <x v="63"/>
    <n v="68"/>
  </r>
  <r>
    <x v="0"/>
    <x v="4"/>
    <x v="70"/>
    <n v="60"/>
  </r>
  <r>
    <x v="0"/>
    <x v="4"/>
    <x v="2"/>
    <n v="56"/>
  </r>
  <r>
    <x v="0"/>
    <x v="4"/>
    <x v="6"/>
    <n v="50"/>
  </r>
  <r>
    <x v="0"/>
    <x v="4"/>
    <x v="51"/>
    <n v="46"/>
  </r>
  <r>
    <x v="0"/>
    <x v="4"/>
    <x v="12"/>
    <n v="45"/>
  </r>
  <r>
    <x v="0"/>
    <x v="4"/>
    <x v="49"/>
    <n v="43"/>
  </r>
  <r>
    <x v="0"/>
    <x v="4"/>
    <x v="34"/>
    <n v="39"/>
  </r>
  <r>
    <x v="0"/>
    <x v="4"/>
    <x v="19"/>
    <n v="36"/>
  </r>
  <r>
    <x v="0"/>
    <x v="4"/>
    <x v="31"/>
    <n v="36"/>
  </r>
  <r>
    <x v="0"/>
    <x v="4"/>
    <x v="64"/>
    <n v="35"/>
  </r>
  <r>
    <x v="0"/>
    <x v="4"/>
    <x v="16"/>
    <n v="35"/>
  </r>
  <r>
    <x v="0"/>
    <x v="4"/>
    <x v="17"/>
    <n v="30"/>
  </r>
  <r>
    <x v="0"/>
    <x v="4"/>
    <x v="44"/>
    <n v="30"/>
  </r>
  <r>
    <x v="0"/>
    <x v="4"/>
    <x v="30"/>
    <n v="27"/>
  </r>
  <r>
    <x v="0"/>
    <x v="4"/>
    <x v="40"/>
    <n v="27"/>
  </r>
  <r>
    <x v="0"/>
    <x v="4"/>
    <x v="66"/>
    <n v="25"/>
  </r>
  <r>
    <x v="0"/>
    <x v="4"/>
    <x v="38"/>
    <n v="20"/>
  </r>
  <r>
    <x v="0"/>
    <x v="4"/>
    <x v="22"/>
    <n v="20"/>
  </r>
  <r>
    <x v="0"/>
    <x v="4"/>
    <x v="5"/>
    <n v="20"/>
  </r>
  <r>
    <x v="0"/>
    <x v="4"/>
    <x v="42"/>
    <n v="18"/>
  </r>
  <r>
    <x v="0"/>
    <x v="4"/>
    <x v="65"/>
    <n v="16"/>
  </r>
  <r>
    <x v="0"/>
    <x v="4"/>
    <x v="72"/>
    <n v="15"/>
  </r>
  <r>
    <x v="0"/>
    <x v="4"/>
    <x v="9"/>
    <n v="13"/>
  </r>
  <r>
    <x v="0"/>
    <x v="4"/>
    <x v="24"/>
    <n v="12"/>
  </r>
  <r>
    <x v="0"/>
    <x v="4"/>
    <x v="21"/>
    <n v="12"/>
  </r>
  <r>
    <x v="0"/>
    <x v="4"/>
    <x v="33"/>
    <n v="9"/>
  </r>
  <r>
    <x v="0"/>
    <x v="4"/>
    <x v="48"/>
    <n v="5"/>
  </r>
  <r>
    <x v="0"/>
    <x v="4"/>
    <x v="18"/>
    <n v="5"/>
  </r>
  <r>
    <x v="0"/>
    <x v="4"/>
    <x v="59"/>
    <n v="4"/>
  </r>
  <r>
    <x v="0"/>
    <x v="4"/>
    <x v="10"/>
    <n v="4"/>
  </r>
  <r>
    <x v="1"/>
    <x v="5"/>
    <x v="25"/>
    <n v="164"/>
  </r>
  <r>
    <x v="1"/>
    <x v="5"/>
    <x v="48"/>
    <n v="161"/>
  </r>
  <r>
    <x v="1"/>
    <x v="5"/>
    <x v="24"/>
    <n v="135"/>
  </r>
  <r>
    <x v="1"/>
    <x v="5"/>
    <x v="27"/>
    <n v="130"/>
  </r>
  <r>
    <x v="1"/>
    <x v="5"/>
    <x v="14"/>
    <n v="111"/>
  </r>
  <r>
    <x v="1"/>
    <x v="5"/>
    <x v="62"/>
    <n v="95"/>
  </r>
  <r>
    <x v="1"/>
    <x v="5"/>
    <x v="20"/>
    <n v="87"/>
  </r>
  <r>
    <x v="1"/>
    <x v="5"/>
    <x v="8"/>
    <n v="84"/>
  </r>
  <r>
    <x v="1"/>
    <x v="5"/>
    <x v="53"/>
    <n v="73"/>
  </r>
  <r>
    <x v="1"/>
    <x v="5"/>
    <x v="26"/>
    <n v="70"/>
  </r>
  <r>
    <x v="1"/>
    <x v="5"/>
    <x v="65"/>
    <n v="70"/>
  </r>
  <r>
    <x v="1"/>
    <x v="5"/>
    <x v="59"/>
    <n v="68"/>
  </r>
  <r>
    <x v="1"/>
    <x v="5"/>
    <x v="13"/>
    <n v="60"/>
  </r>
  <r>
    <x v="1"/>
    <x v="5"/>
    <x v="3"/>
    <n v="60"/>
  </r>
  <r>
    <x v="1"/>
    <x v="5"/>
    <x v="63"/>
    <n v="58"/>
  </r>
  <r>
    <x v="1"/>
    <x v="5"/>
    <x v="35"/>
    <n v="57"/>
  </r>
  <r>
    <x v="1"/>
    <x v="5"/>
    <x v="45"/>
    <n v="48"/>
  </r>
  <r>
    <x v="1"/>
    <x v="5"/>
    <x v="68"/>
    <n v="40"/>
  </r>
  <r>
    <x v="1"/>
    <x v="5"/>
    <x v="15"/>
    <n v="40"/>
  </r>
  <r>
    <x v="1"/>
    <x v="5"/>
    <x v="66"/>
    <n v="40"/>
  </r>
  <r>
    <x v="1"/>
    <x v="5"/>
    <x v="38"/>
    <n v="38"/>
  </r>
  <r>
    <x v="1"/>
    <x v="5"/>
    <x v="30"/>
    <n v="35"/>
  </r>
  <r>
    <x v="1"/>
    <x v="5"/>
    <x v="34"/>
    <n v="34"/>
  </r>
  <r>
    <x v="1"/>
    <x v="5"/>
    <x v="4"/>
    <n v="32"/>
  </r>
  <r>
    <x v="1"/>
    <x v="5"/>
    <x v="57"/>
    <n v="30"/>
  </r>
  <r>
    <x v="1"/>
    <x v="5"/>
    <x v="12"/>
    <n v="30"/>
  </r>
  <r>
    <x v="1"/>
    <x v="5"/>
    <x v="28"/>
    <n v="30"/>
  </r>
  <r>
    <x v="1"/>
    <x v="5"/>
    <x v="49"/>
    <n v="26"/>
  </r>
  <r>
    <x v="1"/>
    <x v="5"/>
    <x v="0"/>
    <n v="25"/>
  </r>
  <r>
    <x v="1"/>
    <x v="5"/>
    <x v="11"/>
    <n v="20"/>
  </r>
  <r>
    <x v="1"/>
    <x v="5"/>
    <x v="17"/>
    <n v="20"/>
  </r>
  <r>
    <x v="1"/>
    <x v="5"/>
    <x v="67"/>
    <n v="20"/>
  </r>
  <r>
    <x v="1"/>
    <x v="5"/>
    <x v="7"/>
    <n v="18"/>
  </r>
  <r>
    <x v="1"/>
    <x v="5"/>
    <x v="5"/>
    <n v="18"/>
  </r>
  <r>
    <x v="1"/>
    <x v="5"/>
    <x v="54"/>
    <n v="16"/>
  </r>
  <r>
    <x v="1"/>
    <x v="5"/>
    <x v="44"/>
    <n v="16"/>
  </r>
  <r>
    <x v="1"/>
    <x v="5"/>
    <x v="40"/>
    <n v="15"/>
  </r>
  <r>
    <x v="1"/>
    <x v="5"/>
    <x v="72"/>
    <n v="15"/>
  </r>
  <r>
    <x v="1"/>
    <x v="5"/>
    <x v="73"/>
    <n v="15"/>
  </r>
  <r>
    <x v="1"/>
    <x v="5"/>
    <x v="21"/>
    <n v="14"/>
  </r>
  <r>
    <x v="1"/>
    <x v="5"/>
    <x v="1"/>
    <n v="12"/>
  </r>
  <r>
    <x v="1"/>
    <x v="5"/>
    <x v="56"/>
    <n v="10"/>
  </r>
  <r>
    <x v="1"/>
    <x v="5"/>
    <x v="29"/>
    <n v="10"/>
  </r>
  <r>
    <x v="1"/>
    <x v="5"/>
    <x v="51"/>
    <n v="10"/>
  </r>
  <r>
    <x v="1"/>
    <x v="5"/>
    <x v="18"/>
    <n v="10"/>
  </r>
  <r>
    <x v="1"/>
    <x v="5"/>
    <x v="55"/>
    <n v="9"/>
  </r>
  <r>
    <x v="1"/>
    <x v="5"/>
    <x v="9"/>
    <n v="8"/>
  </r>
  <r>
    <x v="1"/>
    <x v="5"/>
    <x v="70"/>
    <n v="7"/>
  </r>
  <r>
    <x v="1"/>
    <x v="5"/>
    <x v="22"/>
    <n v="6"/>
  </r>
  <r>
    <x v="1"/>
    <x v="6"/>
    <x v="3"/>
    <n v="119"/>
  </r>
  <r>
    <x v="1"/>
    <x v="6"/>
    <x v="68"/>
    <n v="99"/>
  </r>
  <r>
    <x v="1"/>
    <x v="6"/>
    <x v="26"/>
    <n v="95"/>
  </r>
  <r>
    <x v="1"/>
    <x v="6"/>
    <x v="48"/>
    <n v="75"/>
  </r>
  <r>
    <x v="1"/>
    <x v="6"/>
    <x v="38"/>
    <n v="75"/>
  </r>
  <r>
    <x v="1"/>
    <x v="6"/>
    <x v="28"/>
    <n v="75"/>
  </r>
  <r>
    <x v="1"/>
    <x v="6"/>
    <x v="74"/>
    <n v="70"/>
  </r>
  <r>
    <x v="1"/>
    <x v="6"/>
    <x v="35"/>
    <n v="67"/>
  </r>
  <r>
    <x v="1"/>
    <x v="6"/>
    <x v="59"/>
    <n v="66"/>
  </r>
  <r>
    <x v="1"/>
    <x v="6"/>
    <x v="54"/>
    <n v="65"/>
  </r>
  <r>
    <x v="1"/>
    <x v="6"/>
    <x v="65"/>
    <n v="62"/>
  </r>
  <r>
    <x v="1"/>
    <x v="6"/>
    <x v="16"/>
    <n v="60"/>
  </r>
  <r>
    <x v="1"/>
    <x v="6"/>
    <x v="66"/>
    <n v="60"/>
  </r>
  <r>
    <x v="1"/>
    <x v="6"/>
    <x v="0"/>
    <n v="60"/>
  </r>
  <r>
    <x v="1"/>
    <x v="6"/>
    <x v="14"/>
    <n v="60"/>
  </r>
  <r>
    <x v="1"/>
    <x v="6"/>
    <x v="69"/>
    <n v="55"/>
  </r>
  <r>
    <x v="1"/>
    <x v="6"/>
    <x v="46"/>
    <n v="50"/>
  </r>
  <r>
    <x v="1"/>
    <x v="6"/>
    <x v="1"/>
    <n v="45"/>
  </r>
  <r>
    <x v="1"/>
    <x v="6"/>
    <x v="21"/>
    <n v="45"/>
  </r>
  <r>
    <x v="1"/>
    <x v="6"/>
    <x v="49"/>
    <n v="42"/>
  </r>
  <r>
    <x v="1"/>
    <x v="6"/>
    <x v="18"/>
    <n v="42"/>
  </r>
  <r>
    <x v="1"/>
    <x v="6"/>
    <x v="52"/>
    <n v="42"/>
  </r>
  <r>
    <x v="1"/>
    <x v="6"/>
    <x v="33"/>
    <n v="40"/>
  </r>
  <r>
    <x v="1"/>
    <x v="6"/>
    <x v="41"/>
    <n v="40"/>
  </r>
  <r>
    <x v="1"/>
    <x v="6"/>
    <x v="63"/>
    <n v="35"/>
  </r>
  <r>
    <x v="1"/>
    <x v="6"/>
    <x v="40"/>
    <n v="34"/>
  </r>
  <r>
    <x v="1"/>
    <x v="6"/>
    <x v="30"/>
    <n v="34"/>
  </r>
  <r>
    <x v="1"/>
    <x v="6"/>
    <x v="31"/>
    <n v="30"/>
  </r>
  <r>
    <x v="1"/>
    <x v="6"/>
    <x v="9"/>
    <n v="25"/>
  </r>
  <r>
    <x v="1"/>
    <x v="6"/>
    <x v="27"/>
    <n v="25"/>
  </r>
  <r>
    <x v="1"/>
    <x v="6"/>
    <x v="53"/>
    <n v="22"/>
  </r>
  <r>
    <x v="1"/>
    <x v="6"/>
    <x v="34"/>
    <n v="21"/>
  </r>
  <r>
    <x v="1"/>
    <x v="6"/>
    <x v="2"/>
    <n v="21"/>
  </r>
  <r>
    <x v="1"/>
    <x v="6"/>
    <x v="17"/>
    <n v="20"/>
  </r>
  <r>
    <x v="1"/>
    <x v="6"/>
    <x v="6"/>
    <n v="20"/>
  </r>
  <r>
    <x v="1"/>
    <x v="6"/>
    <x v="47"/>
    <n v="20"/>
  </r>
  <r>
    <x v="1"/>
    <x v="6"/>
    <x v="75"/>
    <n v="20"/>
  </r>
  <r>
    <x v="1"/>
    <x v="6"/>
    <x v="7"/>
    <n v="18"/>
  </r>
  <r>
    <x v="1"/>
    <x v="6"/>
    <x v="76"/>
    <n v="16"/>
  </r>
  <r>
    <x v="1"/>
    <x v="6"/>
    <x v="8"/>
    <n v="15"/>
  </r>
  <r>
    <x v="1"/>
    <x v="6"/>
    <x v="25"/>
    <n v="14"/>
  </r>
  <r>
    <x v="1"/>
    <x v="6"/>
    <x v="39"/>
    <n v="10"/>
  </r>
  <r>
    <x v="1"/>
    <x v="6"/>
    <x v="24"/>
    <n v="10"/>
  </r>
  <r>
    <x v="1"/>
    <x v="6"/>
    <x v="13"/>
    <n v="8"/>
  </r>
  <r>
    <x v="1"/>
    <x v="6"/>
    <x v="57"/>
    <n v="7"/>
  </r>
  <r>
    <x v="1"/>
    <x v="6"/>
    <x v="56"/>
    <n v="6"/>
  </r>
  <r>
    <x v="1"/>
    <x v="6"/>
    <x v="22"/>
    <n v="5"/>
  </r>
  <r>
    <x v="1"/>
    <x v="6"/>
    <x v="10"/>
    <n v="2"/>
  </r>
  <r>
    <x v="1"/>
    <x v="6"/>
    <x v="19"/>
    <n v="2"/>
  </r>
  <r>
    <x v="1"/>
    <x v="6"/>
    <x v="45"/>
    <n v="2"/>
  </r>
  <r>
    <x v="1"/>
    <x v="7"/>
    <x v="24"/>
    <n v="180"/>
  </r>
  <r>
    <x v="1"/>
    <x v="7"/>
    <x v="56"/>
    <n v="141"/>
  </r>
  <r>
    <x v="1"/>
    <x v="7"/>
    <x v="18"/>
    <n v="130"/>
  </r>
  <r>
    <x v="1"/>
    <x v="7"/>
    <x v="76"/>
    <n v="115"/>
  </r>
  <r>
    <x v="1"/>
    <x v="7"/>
    <x v="38"/>
    <n v="113"/>
  </r>
  <r>
    <x v="1"/>
    <x v="7"/>
    <x v="1"/>
    <n v="106"/>
  </r>
  <r>
    <x v="1"/>
    <x v="7"/>
    <x v="19"/>
    <n v="105"/>
  </r>
  <r>
    <x v="1"/>
    <x v="7"/>
    <x v="41"/>
    <n v="100"/>
  </r>
  <r>
    <x v="1"/>
    <x v="7"/>
    <x v="2"/>
    <n v="85"/>
  </r>
  <r>
    <x v="1"/>
    <x v="7"/>
    <x v="48"/>
    <n v="82"/>
  </r>
  <r>
    <x v="1"/>
    <x v="7"/>
    <x v="57"/>
    <n v="71"/>
  </r>
  <r>
    <x v="1"/>
    <x v="7"/>
    <x v="10"/>
    <n v="70"/>
  </r>
  <r>
    <x v="1"/>
    <x v="7"/>
    <x v="52"/>
    <n v="67"/>
  </r>
  <r>
    <x v="1"/>
    <x v="7"/>
    <x v="27"/>
    <n v="65"/>
  </r>
  <r>
    <x v="1"/>
    <x v="7"/>
    <x v="17"/>
    <n v="63"/>
  </r>
  <r>
    <x v="1"/>
    <x v="7"/>
    <x v="65"/>
    <n v="61"/>
  </r>
  <r>
    <x v="1"/>
    <x v="7"/>
    <x v="60"/>
    <n v="60"/>
  </r>
  <r>
    <x v="1"/>
    <x v="7"/>
    <x v="49"/>
    <n v="57"/>
  </r>
  <r>
    <x v="1"/>
    <x v="7"/>
    <x v="0"/>
    <n v="55"/>
  </r>
  <r>
    <x v="1"/>
    <x v="7"/>
    <x v="21"/>
    <n v="55"/>
  </r>
  <r>
    <x v="1"/>
    <x v="7"/>
    <x v="20"/>
    <n v="50"/>
  </r>
  <r>
    <x v="1"/>
    <x v="7"/>
    <x v="23"/>
    <n v="50"/>
  </r>
  <r>
    <x v="1"/>
    <x v="7"/>
    <x v="31"/>
    <n v="42"/>
  </r>
  <r>
    <x v="1"/>
    <x v="7"/>
    <x v="72"/>
    <n v="40"/>
  </r>
  <r>
    <x v="1"/>
    <x v="7"/>
    <x v="54"/>
    <n v="35"/>
  </r>
  <r>
    <x v="1"/>
    <x v="7"/>
    <x v="53"/>
    <n v="35"/>
  </r>
  <r>
    <x v="1"/>
    <x v="7"/>
    <x v="67"/>
    <n v="35"/>
  </r>
  <r>
    <x v="1"/>
    <x v="7"/>
    <x v="28"/>
    <n v="35"/>
  </r>
  <r>
    <x v="1"/>
    <x v="7"/>
    <x v="44"/>
    <n v="34"/>
  </r>
  <r>
    <x v="1"/>
    <x v="7"/>
    <x v="69"/>
    <n v="30"/>
  </r>
  <r>
    <x v="1"/>
    <x v="7"/>
    <x v="8"/>
    <n v="30"/>
  </r>
  <r>
    <x v="1"/>
    <x v="7"/>
    <x v="9"/>
    <n v="30"/>
  </r>
  <r>
    <x v="1"/>
    <x v="7"/>
    <x v="42"/>
    <n v="28"/>
  </r>
  <r>
    <x v="1"/>
    <x v="7"/>
    <x v="7"/>
    <n v="28"/>
  </r>
  <r>
    <x v="1"/>
    <x v="7"/>
    <x v="11"/>
    <n v="26"/>
  </r>
  <r>
    <x v="1"/>
    <x v="7"/>
    <x v="13"/>
    <n v="25"/>
  </r>
  <r>
    <x v="1"/>
    <x v="7"/>
    <x v="34"/>
    <n v="24"/>
  </r>
  <r>
    <x v="1"/>
    <x v="7"/>
    <x v="16"/>
    <n v="21"/>
  </r>
  <r>
    <x v="1"/>
    <x v="7"/>
    <x v="59"/>
    <n v="21"/>
  </r>
  <r>
    <x v="1"/>
    <x v="7"/>
    <x v="51"/>
    <n v="20"/>
  </r>
  <r>
    <x v="1"/>
    <x v="7"/>
    <x v="12"/>
    <n v="20"/>
  </r>
  <r>
    <x v="1"/>
    <x v="7"/>
    <x v="3"/>
    <n v="20"/>
  </r>
  <r>
    <x v="1"/>
    <x v="7"/>
    <x v="43"/>
    <n v="20"/>
  </r>
  <r>
    <x v="1"/>
    <x v="7"/>
    <x v="30"/>
    <n v="18"/>
  </r>
  <r>
    <x v="1"/>
    <x v="7"/>
    <x v="29"/>
    <n v="16"/>
  </r>
  <r>
    <x v="1"/>
    <x v="7"/>
    <x v="6"/>
    <n v="15"/>
  </r>
  <r>
    <x v="1"/>
    <x v="7"/>
    <x v="32"/>
    <n v="15"/>
  </r>
  <r>
    <x v="1"/>
    <x v="7"/>
    <x v="74"/>
    <n v="15"/>
  </r>
  <r>
    <x v="1"/>
    <x v="7"/>
    <x v="36"/>
    <n v="12"/>
  </r>
  <r>
    <x v="1"/>
    <x v="7"/>
    <x v="26"/>
    <n v="8"/>
  </r>
  <r>
    <x v="1"/>
    <x v="7"/>
    <x v="25"/>
    <n v="3"/>
  </r>
  <r>
    <x v="1"/>
    <x v="8"/>
    <x v="12"/>
    <n v="133"/>
  </r>
  <r>
    <x v="1"/>
    <x v="8"/>
    <x v="1"/>
    <n v="102"/>
  </r>
  <r>
    <x v="1"/>
    <x v="8"/>
    <x v="13"/>
    <n v="72"/>
  </r>
  <r>
    <x v="1"/>
    <x v="8"/>
    <x v="10"/>
    <n v="61"/>
  </r>
  <r>
    <x v="1"/>
    <x v="8"/>
    <x v="14"/>
    <n v="60"/>
  </r>
  <r>
    <x v="1"/>
    <x v="8"/>
    <x v="0"/>
    <n v="60"/>
  </r>
  <r>
    <x v="1"/>
    <x v="8"/>
    <x v="60"/>
    <n v="60"/>
  </r>
  <r>
    <x v="1"/>
    <x v="8"/>
    <x v="2"/>
    <n v="53"/>
  </r>
  <r>
    <x v="1"/>
    <x v="8"/>
    <x v="33"/>
    <n v="50"/>
  </r>
  <r>
    <x v="1"/>
    <x v="8"/>
    <x v="38"/>
    <n v="50"/>
  </r>
  <r>
    <x v="1"/>
    <x v="8"/>
    <x v="5"/>
    <n v="46"/>
  </r>
  <r>
    <x v="1"/>
    <x v="8"/>
    <x v="30"/>
    <n v="42"/>
  </r>
  <r>
    <x v="1"/>
    <x v="8"/>
    <x v="57"/>
    <n v="38"/>
  </r>
  <r>
    <x v="1"/>
    <x v="8"/>
    <x v="66"/>
    <n v="36"/>
  </r>
  <r>
    <x v="1"/>
    <x v="8"/>
    <x v="25"/>
    <n v="35"/>
  </r>
  <r>
    <x v="1"/>
    <x v="8"/>
    <x v="18"/>
    <n v="35"/>
  </r>
  <r>
    <x v="1"/>
    <x v="8"/>
    <x v="51"/>
    <n v="35"/>
  </r>
  <r>
    <x v="1"/>
    <x v="8"/>
    <x v="24"/>
    <n v="32"/>
  </r>
  <r>
    <x v="1"/>
    <x v="8"/>
    <x v="73"/>
    <n v="30"/>
  </r>
  <r>
    <x v="1"/>
    <x v="8"/>
    <x v="31"/>
    <n v="30"/>
  </r>
  <r>
    <x v="1"/>
    <x v="8"/>
    <x v="55"/>
    <n v="30"/>
  </r>
  <r>
    <x v="1"/>
    <x v="8"/>
    <x v="29"/>
    <n v="30"/>
  </r>
  <r>
    <x v="1"/>
    <x v="8"/>
    <x v="68"/>
    <n v="30"/>
  </r>
  <r>
    <x v="1"/>
    <x v="8"/>
    <x v="69"/>
    <n v="30"/>
  </r>
  <r>
    <x v="1"/>
    <x v="8"/>
    <x v="21"/>
    <n v="30"/>
  </r>
  <r>
    <x v="1"/>
    <x v="8"/>
    <x v="65"/>
    <n v="30"/>
  </r>
  <r>
    <x v="1"/>
    <x v="8"/>
    <x v="27"/>
    <n v="28"/>
  </r>
  <r>
    <x v="1"/>
    <x v="8"/>
    <x v="52"/>
    <n v="26"/>
  </r>
  <r>
    <x v="1"/>
    <x v="8"/>
    <x v="72"/>
    <n v="25"/>
  </r>
  <r>
    <x v="1"/>
    <x v="8"/>
    <x v="16"/>
    <n v="24"/>
  </r>
  <r>
    <x v="1"/>
    <x v="8"/>
    <x v="56"/>
    <n v="24"/>
  </r>
  <r>
    <x v="1"/>
    <x v="8"/>
    <x v="11"/>
    <n v="20"/>
  </r>
  <r>
    <x v="1"/>
    <x v="8"/>
    <x v="44"/>
    <n v="20"/>
  </r>
  <r>
    <x v="1"/>
    <x v="8"/>
    <x v="46"/>
    <n v="20"/>
  </r>
  <r>
    <x v="1"/>
    <x v="8"/>
    <x v="47"/>
    <n v="20"/>
  </r>
  <r>
    <x v="1"/>
    <x v="8"/>
    <x v="43"/>
    <n v="18"/>
  </r>
  <r>
    <x v="1"/>
    <x v="8"/>
    <x v="34"/>
    <n v="18"/>
  </r>
  <r>
    <x v="1"/>
    <x v="8"/>
    <x v="49"/>
    <n v="18"/>
  </r>
  <r>
    <x v="1"/>
    <x v="8"/>
    <x v="64"/>
    <n v="16"/>
  </r>
  <r>
    <x v="1"/>
    <x v="8"/>
    <x v="8"/>
    <n v="16"/>
  </r>
  <r>
    <x v="1"/>
    <x v="8"/>
    <x v="40"/>
    <n v="15"/>
  </r>
  <r>
    <x v="1"/>
    <x v="8"/>
    <x v="70"/>
    <n v="12"/>
  </r>
  <r>
    <x v="1"/>
    <x v="8"/>
    <x v="48"/>
    <n v="12"/>
  </r>
  <r>
    <x v="1"/>
    <x v="8"/>
    <x v="3"/>
    <n v="12"/>
  </r>
  <r>
    <x v="1"/>
    <x v="8"/>
    <x v="35"/>
    <n v="12"/>
  </r>
  <r>
    <x v="1"/>
    <x v="8"/>
    <x v="42"/>
    <n v="10"/>
  </r>
  <r>
    <x v="1"/>
    <x v="8"/>
    <x v="7"/>
    <n v="8"/>
  </r>
  <r>
    <x v="1"/>
    <x v="8"/>
    <x v="53"/>
    <n v="5"/>
  </r>
  <r>
    <x v="1"/>
    <x v="8"/>
    <x v="41"/>
    <n v="2"/>
  </r>
  <r>
    <x v="1"/>
    <x v="8"/>
    <x v="45"/>
    <n v="1"/>
  </r>
  <r>
    <x v="1"/>
    <x v="9"/>
    <x v="38"/>
    <n v="154"/>
  </r>
  <r>
    <x v="1"/>
    <x v="9"/>
    <x v="42"/>
    <n v="122"/>
  </r>
  <r>
    <x v="1"/>
    <x v="9"/>
    <x v="23"/>
    <n v="120"/>
  </r>
  <r>
    <x v="1"/>
    <x v="9"/>
    <x v="9"/>
    <n v="110"/>
  </r>
  <r>
    <x v="1"/>
    <x v="9"/>
    <x v="14"/>
    <n v="106"/>
  </r>
  <r>
    <x v="1"/>
    <x v="9"/>
    <x v="70"/>
    <n v="78"/>
  </r>
  <r>
    <x v="1"/>
    <x v="9"/>
    <x v="17"/>
    <n v="74"/>
  </r>
  <r>
    <x v="1"/>
    <x v="9"/>
    <x v="33"/>
    <n v="70"/>
  </r>
  <r>
    <x v="1"/>
    <x v="9"/>
    <x v="35"/>
    <n v="70"/>
  </r>
  <r>
    <x v="1"/>
    <x v="9"/>
    <x v="49"/>
    <n v="66"/>
  </r>
  <r>
    <x v="1"/>
    <x v="9"/>
    <x v="1"/>
    <n v="64"/>
  </r>
  <r>
    <x v="1"/>
    <x v="9"/>
    <x v="18"/>
    <n v="52"/>
  </r>
  <r>
    <x v="1"/>
    <x v="9"/>
    <x v="29"/>
    <n v="50"/>
  </r>
  <r>
    <x v="1"/>
    <x v="9"/>
    <x v="64"/>
    <n v="50"/>
  </r>
  <r>
    <x v="1"/>
    <x v="9"/>
    <x v="37"/>
    <n v="50"/>
  </r>
  <r>
    <x v="1"/>
    <x v="9"/>
    <x v="2"/>
    <n v="50"/>
  </r>
  <r>
    <x v="1"/>
    <x v="9"/>
    <x v="76"/>
    <n v="40"/>
  </r>
  <r>
    <x v="1"/>
    <x v="9"/>
    <x v="40"/>
    <n v="40"/>
  </r>
  <r>
    <x v="1"/>
    <x v="9"/>
    <x v="15"/>
    <n v="39"/>
  </r>
  <r>
    <x v="1"/>
    <x v="9"/>
    <x v="21"/>
    <n v="37"/>
  </r>
  <r>
    <x v="1"/>
    <x v="9"/>
    <x v="12"/>
    <n v="37"/>
  </r>
  <r>
    <x v="1"/>
    <x v="9"/>
    <x v="59"/>
    <n v="36"/>
  </r>
  <r>
    <x v="1"/>
    <x v="9"/>
    <x v="34"/>
    <n v="36"/>
  </r>
  <r>
    <x v="1"/>
    <x v="9"/>
    <x v="71"/>
    <n v="34"/>
  </r>
  <r>
    <x v="1"/>
    <x v="9"/>
    <x v="10"/>
    <n v="30"/>
  </r>
  <r>
    <x v="1"/>
    <x v="9"/>
    <x v="58"/>
    <n v="30"/>
  </r>
  <r>
    <x v="1"/>
    <x v="9"/>
    <x v="20"/>
    <n v="25"/>
  </r>
  <r>
    <x v="1"/>
    <x v="9"/>
    <x v="16"/>
    <n v="25"/>
  </r>
  <r>
    <x v="1"/>
    <x v="9"/>
    <x v="55"/>
    <n v="25"/>
  </r>
  <r>
    <x v="1"/>
    <x v="9"/>
    <x v="41"/>
    <n v="24"/>
  </r>
  <r>
    <x v="1"/>
    <x v="9"/>
    <x v="27"/>
    <n v="21"/>
  </r>
  <r>
    <x v="1"/>
    <x v="9"/>
    <x v="73"/>
    <n v="21"/>
  </r>
  <r>
    <x v="1"/>
    <x v="9"/>
    <x v="25"/>
    <n v="20"/>
  </r>
  <r>
    <x v="1"/>
    <x v="9"/>
    <x v="56"/>
    <n v="20"/>
  </r>
  <r>
    <x v="1"/>
    <x v="9"/>
    <x v="13"/>
    <n v="20"/>
  </r>
  <r>
    <x v="1"/>
    <x v="9"/>
    <x v="7"/>
    <n v="20"/>
  </r>
  <r>
    <x v="1"/>
    <x v="9"/>
    <x v="3"/>
    <n v="16"/>
  </r>
  <r>
    <x v="1"/>
    <x v="9"/>
    <x v="75"/>
    <n v="16"/>
  </r>
  <r>
    <x v="1"/>
    <x v="9"/>
    <x v="44"/>
    <n v="16"/>
  </r>
  <r>
    <x v="1"/>
    <x v="9"/>
    <x v="74"/>
    <n v="15"/>
  </r>
  <r>
    <x v="1"/>
    <x v="9"/>
    <x v="43"/>
    <n v="15"/>
  </r>
  <r>
    <x v="1"/>
    <x v="9"/>
    <x v="68"/>
    <n v="15"/>
  </r>
  <r>
    <x v="1"/>
    <x v="9"/>
    <x v="50"/>
    <n v="12"/>
  </r>
  <r>
    <x v="1"/>
    <x v="9"/>
    <x v="0"/>
    <n v="12"/>
  </r>
  <r>
    <x v="1"/>
    <x v="9"/>
    <x v="63"/>
    <n v="10"/>
  </r>
  <r>
    <x v="1"/>
    <x v="9"/>
    <x v="60"/>
    <n v="10"/>
  </r>
  <r>
    <x v="1"/>
    <x v="9"/>
    <x v="66"/>
    <n v="10"/>
  </r>
  <r>
    <x v="1"/>
    <x v="9"/>
    <x v="11"/>
    <n v="10"/>
  </r>
  <r>
    <x v="1"/>
    <x v="9"/>
    <x v="45"/>
    <n v="10"/>
  </r>
  <r>
    <x v="1"/>
    <x v="9"/>
    <x v="53"/>
    <n v="9"/>
  </r>
  <r>
    <x v="1"/>
    <x v="9"/>
    <x v="69"/>
    <n v="6"/>
  </r>
  <r>
    <x v="1"/>
    <x v="9"/>
    <x v="67"/>
    <n v="6"/>
  </r>
  <r>
    <x v="1"/>
    <x v="9"/>
    <x v="28"/>
    <n v="3"/>
  </r>
  <r>
    <x v="1"/>
    <x v="9"/>
    <x v="26"/>
    <n v="3"/>
  </r>
  <r>
    <x v="1"/>
    <x v="10"/>
    <x v="25"/>
    <n v="135"/>
  </r>
  <r>
    <x v="1"/>
    <x v="10"/>
    <x v="22"/>
    <n v="120"/>
  </r>
  <r>
    <x v="1"/>
    <x v="10"/>
    <x v="64"/>
    <n v="100"/>
  </r>
  <r>
    <x v="1"/>
    <x v="10"/>
    <x v="73"/>
    <n v="100"/>
  </r>
  <r>
    <x v="1"/>
    <x v="10"/>
    <x v="31"/>
    <n v="93"/>
  </r>
  <r>
    <x v="1"/>
    <x v="10"/>
    <x v="66"/>
    <n v="90"/>
  </r>
  <r>
    <x v="1"/>
    <x v="10"/>
    <x v="43"/>
    <n v="85"/>
  </r>
  <r>
    <x v="1"/>
    <x v="10"/>
    <x v="2"/>
    <n v="84"/>
  </r>
  <r>
    <x v="1"/>
    <x v="10"/>
    <x v="19"/>
    <n v="73"/>
  </r>
  <r>
    <x v="1"/>
    <x v="10"/>
    <x v="46"/>
    <n v="60"/>
  </r>
  <r>
    <x v="1"/>
    <x v="10"/>
    <x v="28"/>
    <n v="60"/>
  </r>
  <r>
    <x v="1"/>
    <x v="10"/>
    <x v="26"/>
    <n v="56"/>
  </r>
  <r>
    <x v="1"/>
    <x v="10"/>
    <x v="20"/>
    <n v="55"/>
  </r>
  <r>
    <x v="1"/>
    <x v="10"/>
    <x v="59"/>
    <n v="55"/>
  </r>
  <r>
    <x v="1"/>
    <x v="10"/>
    <x v="5"/>
    <n v="54"/>
  </r>
  <r>
    <x v="1"/>
    <x v="10"/>
    <x v="3"/>
    <n v="53"/>
  </r>
  <r>
    <x v="1"/>
    <x v="10"/>
    <x v="30"/>
    <n v="50"/>
  </r>
  <r>
    <x v="1"/>
    <x v="10"/>
    <x v="56"/>
    <n v="49"/>
  </r>
  <r>
    <x v="1"/>
    <x v="10"/>
    <x v="32"/>
    <n v="45"/>
  </r>
  <r>
    <x v="1"/>
    <x v="10"/>
    <x v="65"/>
    <n v="40"/>
  </r>
  <r>
    <x v="1"/>
    <x v="10"/>
    <x v="41"/>
    <n v="40"/>
  </r>
  <r>
    <x v="1"/>
    <x v="10"/>
    <x v="17"/>
    <n v="36"/>
  </r>
  <r>
    <x v="1"/>
    <x v="10"/>
    <x v="7"/>
    <n v="35"/>
  </r>
  <r>
    <x v="1"/>
    <x v="10"/>
    <x v="10"/>
    <n v="35"/>
  </r>
  <r>
    <x v="1"/>
    <x v="10"/>
    <x v="14"/>
    <n v="35"/>
  </r>
  <r>
    <x v="1"/>
    <x v="10"/>
    <x v="12"/>
    <n v="35"/>
  </r>
  <r>
    <x v="1"/>
    <x v="10"/>
    <x v="68"/>
    <n v="34"/>
  </r>
  <r>
    <x v="1"/>
    <x v="10"/>
    <x v="47"/>
    <n v="33"/>
  </r>
  <r>
    <x v="1"/>
    <x v="10"/>
    <x v="38"/>
    <n v="30"/>
  </r>
  <r>
    <x v="1"/>
    <x v="10"/>
    <x v="76"/>
    <n v="30"/>
  </r>
  <r>
    <x v="1"/>
    <x v="10"/>
    <x v="42"/>
    <n v="30"/>
  </r>
  <r>
    <x v="1"/>
    <x v="10"/>
    <x v="63"/>
    <n v="28"/>
  </r>
  <r>
    <x v="1"/>
    <x v="10"/>
    <x v="60"/>
    <n v="24"/>
  </r>
  <r>
    <x v="1"/>
    <x v="10"/>
    <x v="37"/>
    <n v="24"/>
  </r>
  <r>
    <x v="1"/>
    <x v="10"/>
    <x v="36"/>
    <n v="24"/>
  </r>
  <r>
    <x v="1"/>
    <x v="10"/>
    <x v="18"/>
    <n v="21"/>
  </r>
  <r>
    <x v="1"/>
    <x v="10"/>
    <x v="9"/>
    <n v="20"/>
  </r>
  <r>
    <x v="1"/>
    <x v="10"/>
    <x v="62"/>
    <n v="20"/>
  </r>
  <r>
    <x v="1"/>
    <x v="10"/>
    <x v="39"/>
    <n v="18"/>
  </r>
  <r>
    <x v="1"/>
    <x v="10"/>
    <x v="45"/>
    <n v="18"/>
  </r>
  <r>
    <x v="1"/>
    <x v="10"/>
    <x v="1"/>
    <n v="17"/>
  </r>
  <r>
    <x v="1"/>
    <x v="10"/>
    <x v="15"/>
    <n v="15"/>
  </r>
  <r>
    <x v="1"/>
    <x v="10"/>
    <x v="24"/>
    <n v="14"/>
  </r>
  <r>
    <x v="1"/>
    <x v="10"/>
    <x v="29"/>
    <n v="10"/>
  </r>
  <r>
    <x v="1"/>
    <x v="10"/>
    <x v="51"/>
    <n v="10"/>
  </r>
  <r>
    <x v="1"/>
    <x v="10"/>
    <x v="52"/>
    <n v="10"/>
  </r>
  <r>
    <x v="1"/>
    <x v="10"/>
    <x v="21"/>
    <n v="10"/>
  </r>
  <r>
    <x v="1"/>
    <x v="10"/>
    <x v="48"/>
    <n v="9"/>
  </r>
  <r>
    <x v="1"/>
    <x v="10"/>
    <x v="40"/>
    <n v="8"/>
  </r>
  <r>
    <x v="1"/>
    <x v="10"/>
    <x v="13"/>
    <n v="7"/>
  </r>
  <r>
    <x v="1"/>
    <x v="10"/>
    <x v="58"/>
    <n v="7"/>
  </r>
  <r>
    <x v="1"/>
    <x v="10"/>
    <x v="49"/>
    <n v="7"/>
  </r>
  <r>
    <x v="1"/>
    <x v="10"/>
    <x v="16"/>
    <n v="6"/>
  </r>
  <r>
    <x v="1"/>
    <x v="10"/>
    <x v="6"/>
    <n v="5"/>
  </r>
  <r>
    <x v="1"/>
    <x v="10"/>
    <x v="44"/>
    <n v="2"/>
  </r>
  <r>
    <x v="1"/>
    <x v="11"/>
    <x v="25"/>
    <n v="171"/>
  </r>
  <r>
    <x v="1"/>
    <x v="11"/>
    <x v="42"/>
    <n v="126"/>
  </r>
  <r>
    <x v="1"/>
    <x v="11"/>
    <x v="38"/>
    <n v="100"/>
  </r>
  <r>
    <x v="1"/>
    <x v="11"/>
    <x v="67"/>
    <n v="100"/>
  </r>
  <r>
    <x v="1"/>
    <x v="11"/>
    <x v="5"/>
    <n v="93"/>
  </r>
  <r>
    <x v="1"/>
    <x v="11"/>
    <x v="30"/>
    <n v="64"/>
  </r>
  <r>
    <x v="1"/>
    <x v="11"/>
    <x v="35"/>
    <n v="56"/>
  </r>
  <r>
    <x v="1"/>
    <x v="11"/>
    <x v="20"/>
    <n v="54"/>
  </r>
  <r>
    <x v="1"/>
    <x v="11"/>
    <x v="57"/>
    <n v="54"/>
  </r>
  <r>
    <x v="1"/>
    <x v="11"/>
    <x v="1"/>
    <n v="52"/>
  </r>
  <r>
    <x v="1"/>
    <x v="11"/>
    <x v="10"/>
    <n v="52"/>
  </r>
  <r>
    <x v="1"/>
    <x v="11"/>
    <x v="31"/>
    <n v="50"/>
  </r>
  <r>
    <x v="1"/>
    <x v="11"/>
    <x v="12"/>
    <n v="43"/>
  </r>
  <r>
    <x v="1"/>
    <x v="11"/>
    <x v="27"/>
    <n v="43"/>
  </r>
  <r>
    <x v="1"/>
    <x v="11"/>
    <x v="24"/>
    <n v="43"/>
  </r>
  <r>
    <x v="1"/>
    <x v="11"/>
    <x v="51"/>
    <n v="40"/>
  </r>
  <r>
    <x v="1"/>
    <x v="11"/>
    <x v="52"/>
    <n v="35"/>
  </r>
  <r>
    <x v="1"/>
    <x v="11"/>
    <x v="28"/>
    <n v="35"/>
  </r>
  <r>
    <x v="1"/>
    <x v="11"/>
    <x v="3"/>
    <n v="34"/>
  </r>
  <r>
    <x v="1"/>
    <x v="11"/>
    <x v="19"/>
    <n v="34"/>
  </r>
  <r>
    <x v="1"/>
    <x v="11"/>
    <x v="41"/>
    <n v="31"/>
  </r>
  <r>
    <x v="1"/>
    <x v="11"/>
    <x v="17"/>
    <n v="30"/>
  </r>
  <r>
    <x v="1"/>
    <x v="11"/>
    <x v="33"/>
    <n v="28"/>
  </r>
  <r>
    <x v="1"/>
    <x v="11"/>
    <x v="69"/>
    <n v="25"/>
  </r>
  <r>
    <x v="1"/>
    <x v="11"/>
    <x v="22"/>
    <n v="25"/>
  </r>
  <r>
    <x v="1"/>
    <x v="11"/>
    <x v="14"/>
    <n v="24"/>
  </r>
  <r>
    <x v="1"/>
    <x v="11"/>
    <x v="9"/>
    <n v="21"/>
  </r>
  <r>
    <x v="1"/>
    <x v="11"/>
    <x v="7"/>
    <n v="20"/>
  </r>
  <r>
    <x v="1"/>
    <x v="11"/>
    <x v="26"/>
    <n v="20"/>
  </r>
  <r>
    <x v="1"/>
    <x v="11"/>
    <x v="55"/>
    <n v="18"/>
  </r>
  <r>
    <x v="1"/>
    <x v="11"/>
    <x v="21"/>
    <n v="18"/>
  </r>
  <r>
    <x v="1"/>
    <x v="11"/>
    <x v="2"/>
    <n v="12"/>
  </r>
  <r>
    <x v="1"/>
    <x v="11"/>
    <x v="37"/>
    <n v="10"/>
  </r>
  <r>
    <x v="1"/>
    <x v="11"/>
    <x v="40"/>
    <n v="10"/>
  </r>
  <r>
    <x v="1"/>
    <x v="11"/>
    <x v="11"/>
    <n v="10"/>
  </r>
  <r>
    <x v="1"/>
    <x v="11"/>
    <x v="6"/>
    <n v="10"/>
  </r>
  <r>
    <x v="1"/>
    <x v="11"/>
    <x v="50"/>
    <n v="10"/>
  </r>
  <r>
    <x v="1"/>
    <x v="11"/>
    <x v="63"/>
    <n v="10"/>
  </r>
  <r>
    <x v="1"/>
    <x v="11"/>
    <x v="34"/>
    <n v="10"/>
  </r>
  <r>
    <x v="1"/>
    <x v="11"/>
    <x v="54"/>
    <n v="6"/>
  </r>
  <r>
    <x v="1"/>
    <x v="11"/>
    <x v="44"/>
    <n v="5"/>
  </r>
  <r>
    <x v="1"/>
    <x v="11"/>
    <x v="47"/>
    <n v="3"/>
  </r>
  <r>
    <x v="1"/>
    <x v="0"/>
    <x v="14"/>
    <n v="125"/>
  </r>
  <r>
    <x v="1"/>
    <x v="0"/>
    <x v="76"/>
    <n v="120"/>
  </r>
  <r>
    <x v="1"/>
    <x v="0"/>
    <x v="33"/>
    <n v="100"/>
  </r>
  <r>
    <x v="1"/>
    <x v="0"/>
    <x v="19"/>
    <n v="100"/>
  </r>
  <r>
    <x v="1"/>
    <x v="0"/>
    <x v="30"/>
    <n v="94"/>
  </r>
  <r>
    <x v="1"/>
    <x v="0"/>
    <x v="21"/>
    <n v="85"/>
  </r>
  <r>
    <x v="1"/>
    <x v="0"/>
    <x v="63"/>
    <n v="85"/>
  </r>
  <r>
    <x v="1"/>
    <x v="0"/>
    <x v="1"/>
    <n v="85"/>
  </r>
  <r>
    <x v="1"/>
    <x v="0"/>
    <x v="44"/>
    <n v="80"/>
  </r>
  <r>
    <x v="1"/>
    <x v="0"/>
    <x v="22"/>
    <n v="76"/>
  </r>
  <r>
    <x v="1"/>
    <x v="0"/>
    <x v="42"/>
    <n v="70"/>
  </r>
  <r>
    <x v="1"/>
    <x v="0"/>
    <x v="45"/>
    <n v="68"/>
  </r>
  <r>
    <x v="1"/>
    <x v="0"/>
    <x v="29"/>
    <n v="55"/>
  </r>
  <r>
    <x v="1"/>
    <x v="0"/>
    <x v="26"/>
    <n v="54"/>
  </r>
  <r>
    <x v="1"/>
    <x v="0"/>
    <x v="56"/>
    <n v="54"/>
  </r>
  <r>
    <x v="1"/>
    <x v="0"/>
    <x v="23"/>
    <n v="50"/>
  </r>
  <r>
    <x v="1"/>
    <x v="0"/>
    <x v="36"/>
    <n v="48"/>
  </r>
  <r>
    <x v="1"/>
    <x v="0"/>
    <x v="38"/>
    <n v="47"/>
  </r>
  <r>
    <x v="1"/>
    <x v="0"/>
    <x v="16"/>
    <n v="43"/>
  </r>
  <r>
    <x v="1"/>
    <x v="0"/>
    <x v="10"/>
    <n v="42"/>
  </r>
  <r>
    <x v="1"/>
    <x v="0"/>
    <x v="55"/>
    <n v="40"/>
  </r>
  <r>
    <x v="1"/>
    <x v="0"/>
    <x v="48"/>
    <n v="39"/>
  </r>
  <r>
    <x v="1"/>
    <x v="0"/>
    <x v="12"/>
    <n v="35"/>
  </r>
  <r>
    <x v="1"/>
    <x v="0"/>
    <x v="62"/>
    <n v="30"/>
  </r>
  <r>
    <x v="1"/>
    <x v="0"/>
    <x v="47"/>
    <n v="30"/>
  </r>
  <r>
    <x v="1"/>
    <x v="0"/>
    <x v="2"/>
    <n v="30"/>
  </r>
  <r>
    <x v="1"/>
    <x v="0"/>
    <x v="40"/>
    <n v="29"/>
  </r>
  <r>
    <x v="1"/>
    <x v="0"/>
    <x v="67"/>
    <n v="28"/>
  </r>
  <r>
    <x v="1"/>
    <x v="0"/>
    <x v="50"/>
    <n v="25"/>
  </r>
  <r>
    <x v="1"/>
    <x v="0"/>
    <x v="24"/>
    <n v="25"/>
  </r>
  <r>
    <x v="1"/>
    <x v="0"/>
    <x v="54"/>
    <n v="24"/>
  </r>
  <r>
    <x v="1"/>
    <x v="0"/>
    <x v="15"/>
    <n v="21"/>
  </r>
  <r>
    <x v="1"/>
    <x v="0"/>
    <x v="6"/>
    <n v="20"/>
  </r>
  <r>
    <x v="1"/>
    <x v="0"/>
    <x v="28"/>
    <n v="20"/>
  </r>
  <r>
    <x v="1"/>
    <x v="0"/>
    <x v="64"/>
    <n v="20"/>
  </r>
  <r>
    <x v="1"/>
    <x v="0"/>
    <x v="69"/>
    <n v="15"/>
  </r>
  <r>
    <x v="1"/>
    <x v="0"/>
    <x v="13"/>
    <n v="15"/>
  </r>
  <r>
    <x v="1"/>
    <x v="0"/>
    <x v="68"/>
    <n v="15"/>
  </r>
  <r>
    <x v="1"/>
    <x v="0"/>
    <x v="46"/>
    <n v="14"/>
  </r>
  <r>
    <x v="1"/>
    <x v="0"/>
    <x v="3"/>
    <n v="14"/>
  </r>
  <r>
    <x v="1"/>
    <x v="0"/>
    <x v="18"/>
    <n v="14"/>
  </r>
  <r>
    <x v="1"/>
    <x v="0"/>
    <x v="31"/>
    <n v="14"/>
  </r>
  <r>
    <x v="1"/>
    <x v="0"/>
    <x v="17"/>
    <n v="12"/>
  </r>
  <r>
    <x v="1"/>
    <x v="0"/>
    <x v="20"/>
    <n v="12"/>
  </r>
  <r>
    <x v="1"/>
    <x v="0"/>
    <x v="65"/>
    <n v="11"/>
  </r>
  <r>
    <x v="1"/>
    <x v="0"/>
    <x v="0"/>
    <n v="10"/>
  </r>
  <r>
    <x v="1"/>
    <x v="0"/>
    <x v="74"/>
    <n v="6"/>
  </r>
  <r>
    <x v="1"/>
    <x v="0"/>
    <x v="11"/>
    <n v="5"/>
  </r>
  <r>
    <x v="1"/>
    <x v="1"/>
    <x v="0"/>
    <n v="100"/>
  </r>
  <r>
    <x v="1"/>
    <x v="1"/>
    <x v="18"/>
    <n v="97"/>
  </r>
  <r>
    <x v="1"/>
    <x v="1"/>
    <x v="36"/>
    <n v="95"/>
  </r>
  <r>
    <x v="1"/>
    <x v="1"/>
    <x v="28"/>
    <n v="95"/>
  </r>
  <r>
    <x v="1"/>
    <x v="1"/>
    <x v="55"/>
    <n v="82"/>
  </r>
  <r>
    <x v="1"/>
    <x v="1"/>
    <x v="38"/>
    <n v="80"/>
  </r>
  <r>
    <x v="1"/>
    <x v="1"/>
    <x v="20"/>
    <n v="75"/>
  </r>
  <r>
    <x v="1"/>
    <x v="1"/>
    <x v="61"/>
    <n v="70"/>
  </r>
  <r>
    <x v="1"/>
    <x v="1"/>
    <x v="48"/>
    <n v="65"/>
  </r>
  <r>
    <x v="1"/>
    <x v="1"/>
    <x v="10"/>
    <n v="60"/>
  </r>
  <r>
    <x v="1"/>
    <x v="1"/>
    <x v="52"/>
    <n v="50"/>
  </r>
  <r>
    <x v="1"/>
    <x v="1"/>
    <x v="49"/>
    <n v="45"/>
  </r>
  <r>
    <x v="1"/>
    <x v="1"/>
    <x v="11"/>
    <n v="41"/>
  </r>
  <r>
    <x v="1"/>
    <x v="1"/>
    <x v="40"/>
    <n v="40"/>
  </r>
  <r>
    <x v="1"/>
    <x v="1"/>
    <x v="27"/>
    <n v="37"/>
  </r>
  <r>
    <x v="1"/>
    <x v="1"/>
    <x v="32"/>
    <n v="36"/>
  </r>
  <r>
    <x v="1"/>
    <x v="1"/>
    <x v="13"/>
    <n v="35"/>
  </r>
  <r>
    <x v="1"/>
    <x v="1"/>
    <x v="47"/>
    <n v="35"/>
  </r>
  <r>
    <x v="1"/>
    <x v="1"/>
    <x v="30"/>
    <n v="35"/>
  </r>
  <r>
    <x v="1"/>
    <x v="1"/>
    <x v="65"/>
    <n v="35"/>
  </r>
  <r>
    <x v="1"/>
    <x v="1"/>
    <x v="29"/>
    <n v="35"/>
  </r>
  <r>
    <x v="1"/>
    <x v="1"/>
    <x v="64"/>
    <n v="35"/>
  </r>
  <r>
    <x v="1"/>
    <x v="1"/>
    <x v="21"/>
    <n v="35"/>
  </r>
  <r>
    <x v="1"/>
    <x v="1"/>
    <x v="59"/>
    <n v="33"/>
  </r>
  <r>
    <x v="1"/>
    <x v="1"/>
    <x v="26"/>
    <n v="30"/>
  </r>
  <r>
    <x v="1"/>
    <x v="1"/>
    <x v="14"/>
    <n v="30"/>
  </r>
  <r>
    <x v="1"/>
    <x v="1"/>
    <x v="56"/>
    <n v="30"/>
  </r>
  <r>
    <x v="1"/>
    <x v="1"/>
    <x v="7"/>
    <n v="30"/>
  </r>
  <r>
    <x v="1"/>
    <x v="1"/>
    <x v="34"/>
    <n v="26"/>
  </r>
  <r>
    <x v="1"/>
    <x v="1"/>
    <x v="72"/>
    <n v="25"/>
  </r>
  <r>
    <x v="1"/>
    <x v="1"/>
    <x v="35"/>
    <n v="24"/>
  </r>
  <r>
    <x v="1"/>
    <x v="1"/>
    <x v="12"/>
    <n v="23"/>
  </r>
  <r>
    <x v="1"/>
    <x v="1"/>
    <x v="53"/>
    <n v="23"/>
  </r>
  <r>
    <x v="1"/>
    <x v="1"/>
    <x v="17"/>
    <n v="21"/>
  </r>
  <r>
    <x v="1"/>
    <x v="1"/>
    <x v="3"/>
    <n v="20"/>
  </r>
  <r>
    <x v="1"/>
    <x v="1"/>
    <x v="73"/>
    <n v="20"/>
  </r>
  <r>
    <x v="1"/>
    <x v="1"/>
    <x v="63"/>
    <n v="20"/>
  </r>
  <r>
    <x v="1"/>
    <x v="1"/>
    <x v="76"/>
    <n v="20"/>
  </r>
  <r>
    <x v="1"/>
    <x v="1"/>
    <x v="43"/>
    <n v="20"/>
  </r>
  <r>
    <x v="1"/>
    <x v="1"/>
    <x v="44"/>
    <n v="18"/>
  </r>
  <r>
    <x v="1"/>
    <x v="1"/>
    <x v="5"/>
    <n v="15"/>
  </r>
  <r>
    <x v="1"/>
    <x v="1"/>
    <x v="4"/>
    <n v="15"/>
  </r>
  <r>
    <x v="1"/>
    <x v="1"/>
    <x v="22"/>
    <n v="15"/>
  </r>
  <r>
    <x v="1"/>
    <x v="1"/>
    <x v="45"/>
    <n v="13"/>
  </r>
  <r>
    <x v="1"/>
    <x v="1"/>
    <x v="24"/>
    <n v="12"/>
  </r>
  <r>
    <x v="1"/>
    <x v="1"/>
    <x v="66"/>
    <n v="10"/>
  </r>
  <r>
    <x v="1"/>
    <x v="1"/>
    <x v="41"/>
    <n v="10"/>
  </r>
  <r>
    <x v="1"/>
    <x v="1"/>
    <x v="42"/>
    <n v="10"/>
  </r>
  <r>
    <x v="1"/>
    <x v="1"/>
    <x v="31"/>
    <n v="10"/>
  </r>
  <r>
    <x v="1"/>
    <x v="1"/>
    <x v="57"/>
    <n v="9"/>
  </r>
  <r>
    <x v="1"/>
    <x v="1"/>
    <x v="62"/>
    <n v="6"/>
  </r>
  <r>
    <x v="1"/>
    <x v="1"/>
    <x v="67"/>
    <n v="5"/>
  </r>
  <r>
    <x v="1"/>
    <x v="1"/>
    <x v="33"/>
    <n v="5"/>
  </r>
  <r>
    <x v="1"/>
    <x v="2"/>
    <x v="9"/>
    <n v="168"/>
  </r>
  <r>
    <x v="1"/>
    <x v="2"/>
    <x v="10"/>
    <n v="144"/>
  </r>
  <r>
    <x v="1"/>
    <x v="2"/>
    <x v="14"/>
    <n v="135"/>
  </r>
  <r>
    <x v="1"/>
    <x v="2"/>
    <x v="53"/>
    <n v="105"/>
  </r>
  <r>
    <x v="1"/>
    <x v="2"/>
    <x v="32"/>
    <n v="100"/>
  </r>
  <r>
    <x v="1"/>
    <x v="2"/>
    <x v="33"/>
    <n v="96"/>
  </r>
  <r>
    <x v="1"/>
    <x v="2"/>
    <x v="2"/>
    <n v="93"/>
  </r>
  <r>
    <x v="1"/>
    <x v="2"/>
    <x v="62"/>
    <n v="79"/>
  </r>
  <r>
    <x v="1"/>
    <x v="2"/>
    <x v="18"/>
    <n v="72"/>
  </r>
  <r>
    <x v="1"/>
    <x v="2"/>
    <x v="69"/>
    <n v="71"/>
  </r>
  <r>
    <x v="1"/>
    <x v="2"/>
    <x v="21"/>
    <n v="70"/>
  </r>
  <r>
    <x v="1"/>
    <x v="2"/>
    <x v="3"/>
    <n v="68"/>
  </r>
  <r>
    <x v="1"/>
    <x v="2"/>
    <x v="38"/>
    <n v="57"/>
  </r>
  <r>
    <x v="1"/>
    <x v="2"/>
    <x v="42"/>
    <n v="55"/>
  </r>
  <r>
    <x v="1"/>
    <x v="2"/>
    <x v="50"/>
    <n v="50"/>
  </r>
  <r>
    <x v="1"/>
    <x v="2"/>
    <x v="47"/>
    <n v="50"/>
  </r>
  <r>
    <x v="1"/>
    <x v="2"/>
    <x v="75"/>
    <n v="50"/>
  </r>
  <r>
    <x v="1"/>
    <x v="2"/>
    <x v="52"/>
    <n v="49"/>
  </r>
  <r>
    <x v="1"/>
    <x v="2"/>
    <x v="41"/>
    <n v="49"/>
  </r>
  <r>
    <x v="1"/>
    <x v="2"/>
    <x v="25"/>
    <n v="48"/>
  </r>
  <r>
    <x v="1"/>
    <x v="2"/>
    <x v="44"/>
    <n v="46"/>
  </r>
  <r>
    <x v="1"/>
    <x v="2"/>
    <x v="34"/>
    <n v="46"/>
  </r>
  <r>
    <x v="1"/>
    <x v="2"/>
    <x v="63"/>
    <n v="45"/>
  </r>
  <r>
    <x v="1"/>
    <x v="2"/>
    <x v="65"/>
    <n v="45"/>
  </r>
  <r>
    <x v="1"/>
    <x v="2"/>
    <x v="57"/>
    <n v="43"/>
  </r>
  <r>
    <x v="1"/>
    <x v="2"/>
    <x v="13"/>
    <n v="40"/>
  </r>
  <r>
    <x v="1"/>
    <x v="2"/>
    <x v="5"/>
    <n v="40"/>
  </r>
  <r>
    <x v="1"/>
    <x v="2"/>
    <x v="17"/>
    <n v="37"/>
  </r>
  <r>
    <x v="1"/>
    <x v="2"/>
    <x v="66"/>
    <n v="37"/>
  </r>
  <r>
    <x v="1"/>
    <x v="2"/>
    <x v="56"/>
    <n v="36"/>
  </r>
  <r>
    <x v="1"/>
    <x v="2"/>
    <x v="22"/>
    <n v="36"/>
  </r>
  <r>
    <x v="1"/>
    <x v="2"/>
    <x v="35"/>
    <n v="33"/>
  </r>
  <r>
    <x v="1"/>
    <x v="2"/>
    <x v="19"/>
    <n v="30"/>
  </r>
  <r>
    <x v="1"/>
    <x v="2"/>
    <x v="48"/>
    <n v="26"/>
  </r>
  <r>
    <x v="1"/>
    <x v="2"/>
    <x v="58"/>
    <n v="25"/>
  </r>
  <r>
    <x v="1"/>
    <x v="2"/>
    <x v="11"/>
    <n v="23"/>
  </r>
  <r>
    <x v="1"/>
    <x v="2"/>
    <x v="15"/>
    <n v="21"/>
  </r>
  <r>
    <x v="1"/>
    <x v="2"/>
    <x v="36"/>
    <n v="20"/>
  </r>
  <r>
    <x v="1"/>
    <x v="2"/>
    <x v="68"/>
    <n v="15"/>
  </r>
  <r>
    <x v="1"/>
    <x v="2"/>
    <x v="1"/>
    <n v="13"/>
  </r>
  <r>
    <x v="1"/>
    <x v="2"/>
    <x v="64"/>
    <n v="12"/>
  </r>
  <r>
    <x v="1"/>
    <x v="2"/>
    <x v="59"/>
    <n v="10"/>
  </r>
  <r>
    <x v="1"/>
    <x v="2"/>
    <x v="30"/>
    <n v="10"/>
  </r>
  <r>
    <x v="1"/>
    <x v="2"/>
    <x v="28"/>
    <n v="10"/>
  </r>
  <r>
    <x v="1"/>
    <x v="2"/>
    <x v="27"/>
    <n v="10"/>
  </r>
  <r>
    <x v="1"/>
    <x v="2"/>
    <x v="67"/>
    <n v="9"/>
  </r>
  <r>
    <x v="1"/>
    <x v="2"/>
    <x v="43"/>
    <n v="6"/>
  </r>
  <r>
    <x v="1"/>
    <x v="2"/>
    <x v="24"/>
    <n v="4"/>
  </r>
  <r>
    <x v="1"/>
    <x v="2"/>
    <x v="60"/>
    <n v="4"/>
  </r>
  <r>
    <x v="1"/>
    <x v="2"/>
    <x v="7"/>
    <n v="2"/>
  </r>
  <r>
    <x v="1"/>
    <x v="3"/>
    <x v="27"/>
    <n v="123"/>
  </r>
  <r>
    <x v="1"/>
    <x v="3"/>
    <x v="48"/>
    <n v="118"/>
  </r>
  <r>
    <x v="1"/>
    <x v="3"/>
    <x v="13"/>
    <n v="116"/>
  </r>
  <r>
    <x v="1"/>
    <x v="3"/>
    <x v="56"/>
    <n v="115"/>
  </r>
  <r>
    <x v="1"/>
    <x v="3"/>
    <x v="1"/>
    <n v="110"/>
  </r>
  <r>
    <x v="1"/>
    <x v="3"/>
    <x v="73"/>
    <n v="110"/>
  </r>
  <r>
    <x v="1"/>
    <x v="3"/>
    <x v="29"/>
    <n v="90"/>
  </r>
  <r>
    <x v="1"/>
    <x v="3"/>
    <x v="59"/>
    <n v="85"/>
  </r>
  <r>
    <x v="1"/>
    <x v="3"/>
    <x v="41"/>
    <n v="74"/>
  </r>
  <r>
    <x v="1"/>
    <x v="3"/>
    <x v="44"/>
    <n v="73"/>
  </r>
  <r>
    <x v="1"/>
    <x v="3"/>
    <x v="40"/>
    <n v="70"/>
  </r>
  <r>
    <x v="1"/>
    <x v="3"/>
    <x v="25"/>
    <n v="70"/>
  </r>
  <r>
    <x v="1"/>
    <x v="3"/>
    <x v="38"/>
    <n v="68"/>
  </r>
  <r>
    <x v="1"/>
    <x v="3"/>
    <x v="28"/>
    <n v="68"/>
  </r>
  <r>
    <x v="1"/>
    <x v="3"/>
    <x v="69"/>
    <n v="67"/>
  </r>
  <r>
    <x v="1"/>
    <x v="3"/>
    <x v="17"/>
    <n v="65"/>
  </r>
  <r>
    <x v="1"/>
    <x v="3"/>
    <x v="43"/>
    <n v="64"/>
  </r>
  <r>
    <x v="1"/>
    <x v="3"/>
    <x v="49"/>
    <n v="60"/>
  </r>
  <r>
    <x v="1"/>
    <x v="3"/>
    <x v="63"/>
    <n v="55"/>
  </r>
  <r>
    <x v="1"/>
    <x v="3"/>
    <x v="12"/>
    <n v="55"/>
  </r>
  <r>
    <x v="1"/>
    <x v="3"/>
    <x v="19"/>
    <n v="55"/>
  </r>
  <r>
    <x v="1"/>
    <x v="3"/>
    <x v="34"/>
    <n v="52"/>
  </r>
  <r>
    <x v="1"/>
    <x v="3"/>
    <x v="47"/>
    <n v="50"/>
  </r>
  <r>
    <x v="1"/>
    <x v="3"/>
    <x v="71"/>
    <n v="50"/>
  </r>
  <r>
    <x v="1"/>
    <x v="3"/>
    <x v="30"/>
    <n v="50"/>
  </r>
  <r>
    <x v="1"/>
    <x v="3"/>
    <x v="22"/>
    <n v="45"/>
  </r>
  <r>
    <x v="1"/>
    <x v="3"/>
    <x v="65"/>
    <n v="45"/>
  </r>
  <r>
    <x v="1"/>
    <x v="3"/>
    <x v="53"/>
    <n v="42"/>
  </r>
  <r>
    <x v="1"/>
    <x v="3"/>
    <x v="62"/>
    <n v="42"/>
  </r>
  <r>
    <x v="1"/>
    <x v="3"/>
    <x v="9"/>
    <n v="42"/>
  </r>
  <r>
    <x v="1"/>
    <x v="3"/>
    <x v="42"/>
    <n v="42"/>
  </r>
  <r>
    <x v="1"/>
    <x v="3"/>
    <x v="32"/>
    <n v="40"/>
  </r>
  <r>
    <x v="1"/>
    <x v="3"/>
    <x v="2"/>
    <n v="40"/>
  </r>
  <r>
    <x v="1"/>
    <x v="3"/>
    <x v="6"/>
    <n v="40"/>
  </r>
  <r>
    <x v="1"/>
    <x v="3"/>
    <x v="0"/>
    <n v="38"/>
  </r>
  <r>
    <x v="1"/>
    <x v="3"/>
    <x v="18"/>
    <n v="37"/>
  </r>
  <r>
    <x v="1"/>
    <x v="3"/>
    <x v="5"/>
    <n v="35"/>
  </r>
  <r>
    <x v="1"/>
    <x v="3"/>
    <x v="21"/>
    <n v="30"/>
  </r>
  <r>
    <x v="1"/>
    <x v="3"/>
    <x v="26"/>
    <n v="30"/>
  </r>
  <r>
    <x v="1"/>
    <x v="3"/>
    <x v="51"/>
    <n v="26"/>
  </r>
  <r>
    <x v="1"/>
    <x v="3"/>
    <x v="52"/>
    <n v="24"/>
  </r>
  <r>
    <x v="1"/>
    <x v="3"/>
    <x v="74"/>
    <n v="24"/>
  </r>
  <r>
    <x v="1"/>
    <x v="3"/>
    <x v="24"/>
    <n v="21"/>
  </r>
  <r>
    <x v="1"/>
    <x v="3"/>
    <x v="54"/>
    <n v="20"/>
  </r>
  <r>
    <x v="1"/>
    <x v="3"/>
    <x v="31"/>
    <n v="15"/>
  </r>
  <r>
    <x v="1"/>
    <x v="3"/>
    <x v="76"/>
    <n v="15"/>
  </r>
  <r>
    <x v="1"/>
    <x v="3"/>
    <x v="55"/>
    <n v="12"/>
  </r>
  <r>
    <x v="1"/>
    <x v="3"/>
    <x v="14"/>
    <n v="10"/>
  </r>
  <r>
    <x v="1"/>
    <x v="3"/>
    <x v="75"/>
    <n v="6"/>
  </r>
  <r>
    <x v="1"/>
    <x v="3"/>
    <x v="46"/>
    <n v="6"/>
  </r>
  <r>
    <x v="1"/>
    <x v="3"/>
    <x v="64"/>
    <n v="6"/>
  </r>
  <r>
    <x v="1"/>
    <x v="3"/>
    <x v="37"/>
    <n v="4"/>
  </r>
  <r>
    <x v="1"/>
    <x v="3"/>
    <x v="4"/>
    <n v="4"/>
  </r>
  <r>
    <x v="1"/>
    <x v="3"/>
    <x v="7"/>
    <n v="3"/>
  </r>
  <r>
    <x v="1"/>
    <x v="4"/>
    <x v="63"/>
    <n v="118"/>
  </r>
  <r>
    <x v="1"/>
    <x v="4"/>
    <x v="67"/>
    <n v="107"/>
  </r>
  <r>
    <x v="1"/>
    <x v="4"/>
    <x v="10"/>
    <n v="99"/>
  </r>
  <r>
    <x v="1"/>
    <x v="4"/>
    <x v="38"/>
    <n v="97"/>
  </r>
  <r>
    <x v="1"/>
    <x v="4"/>
    <x v="1"/>
    <n v="93"/>
  </r>
  <r>
    <x v="1"/>
    <x v="4"/>
    <x v="73"/>
    <n v="84"/>
  </r>
  <r>
    <x v="1"/>
    <x v="4"/>
    <x v="18"/>
    <n v="70"/>
  </r>
  <r>
    <x v="1"/>
    <x v="4"/>
    <x v="14"/>
    <n v="65"/>
  </r>
  <r>
    <x v="1"/>
    <x v="4"/>
    <x v="7"/>
    <n v="60"/>
  </r>
  <r>
    <x v="1"/>
    <x v="4"/>
    <x v="72"/>
    <n v="60"/>
  </r>
  <r>
    <x v="1"/>
    <x v="4"/>
    <x v="9"/>
    <n v="59"/>
  </r>
  <r>
    <x v="1"/>
    <x v="4"/>
    <x v="40"/>
    <n v="58"/>
  </r>
  <r>
    <x v="1"/>
    <x v="4"/>
    <x v="17"/>
    <n v="50"/>
  </r>
  <r>
    <x v="1"/>
    <x v="4"/>
    <x v="30"/>
    <n v="50"/>
  </r>
  <r>
    <x v="1"/>
    <x v="4"/>
    <x v="55"/>
    <n v="45"/>
  </r>
  <r>
    <x v="1"/>
    <x v="4"/>
    <x v="66"/>
    <n v="44"/>
  </r>
  <r>
    <x v="1"/>
    <x v="4"/>
    <x v="20"/>
    <n v="42"/>
  </r>
  <r>
    <x v="1"/>
    <x v="4"/>
    <x v="13"/>
    <n v="40"/>
  </r>
  <r>
    <x v="1"/>
    <x v="4"/>
    <x v="28"/>
    <n v="39"/>
  </r>
  <r>
    <x v="1"/>
    <x v="4"/>
    <x v="26"/>
    <n v="35"/>
  </r>
  <r>
    <x v="1"/>
    <x v="4"/>
    <x v="65"/>
    <n v="32"/>
  </r>
  <r>
    <x v="1"/>
    <x v="4"/>
    <x v="5"/>
    <n v="30"/>
  </r>
  <r>
    <x v="1"/>
    <x v="4"/>
    <x v="61"/>
    <n v="30"/>
  </r>
  <r>
    <x v="1"/>
    <x v="4"/>
    <x v="69"/>
    <n v="30"/>
  </r>
  <r>
    <x v="1"/>
    <x v="4"/>
    <x v="51"/>
    <n v="30"/>
  </r>
  <r>
    <x v="1"/>
    <x v="4"/>
    <x v="53"/>
    <n v="28"/>
  </r>
  <r>
    <x v="1"/>
    <x v="4"/>
    <x v="33"/>
    <n v="28"/>
  </r>
  <r>
    <x v="1"/>
    <x v="4"/>
    <x v="22"/>
    <n v="26"/>
  </r>
  <r>
    <x v="1"/>
    <x v="4"/>
    <x v="64"/>
    <n v="25"/>
  </r>
  <r>
    <x v="1"/>
    <x v="4"/>
    <x v="49"/>
    <n v="25"/>
  </r>
  <r>
    <x v="1"/>
    <x v="4"/>
    <x v="57"/>
    <n v="24"/>
  </r>
  <r>
    <x v="1"/>
    <x v="4"/>
    <x v="35"/>
    <n v="21"/>
  </r>
  <r>
    <x v="1"/>
    <x v="4"/>
    <x v="19"/>
    <n v="20"/>
  </r>
  <r>
    <x v="1"/>
    <x v="4"/>
    <x v="76"/>
    <n v="20"/>
  </r>
  <r>
    <x v="1"/>
    <x v="4"/>
    <x v="42"/>
    <n v="20"/>
  </r>
  <r>
    <x v="1"/>
    <x v="4"/>
    <x v="46"/>
    <n v="20"/>
  </r>
  <r>
    <x v="1"/>
    <x v="4"/>
    <x v="24"/>
    <n v="18"/>
  </r>
  <r>
    <x v="1"/>
    <x v="4"/>
    <x v="2"/>
    <n v="18"/>
  </r>
  <r>
    <x v="1"/>
    <x v="4"/>
    <x v="41"/>
    <n v="16"/>
  </r>
  <r>
    <x v="1"/>
    <x v="4"/>
    <x v="0"/>
    <n v="15"/>
  </r>
  <r>
    <x v="1"/>
    <x v="4"/>
    <x v="47"/>
    <n v="15"/>
  </r>
  <r>
    <x v="1"/>
    <x v="4"/>
    <x v="6"/>
    <n v="14"/>
  </r>
  <r>
    <x v="1"/>
    <x v="4"/>
    <x v="25"/>
    <n v="11"/>
  </r>
  <r>
    <x v="1"/>
    <x v="4"/>
    <x v="45"/>
    <n v="10"/>
  </r>
  <r>
    <x v="1"/>
    <x v="4"/>
    <x v="37"/>
    <n v="10"/>
  </r>
  <r>
    <x v="1"/>
    <x v="4"/>
    <x v="54"/>
    <n v="9"/>
  </r>
  <r>
    <x v="1"/>
    <x v="4"/>
    <x v="59"/>
    <n v="6"/>
  </r>
  <r>
    <x v="1"/>
    <x v="4"/>
    <x v="31"/>
    <n v="5"/>
  </r>
  <r>
    <x v="1"/>
    <x v="4"/>
    <x v="8"/>
    <n v="5"/>
  </r>
  <r>
    <x v="1"/>
    <x v="4"/>
    <x v="21"/>
    <n v="2"/>
  </r>
  <r>
    <x v="2"/>
    <x v="5"/>
    <x v="5"/>
    <n v="188"/>
  </r>
  <r>
    <x v="2"/>
    <x v="5"/>
    <x v="25"/>
    <n v="149"/>
  </r>
  <r>
    <x v="2"/>
    <x v="5"/>
    <x v="11"/>
    <n v="148"/>
  </r>
  <r>
    <x v="2"/>
    <x v="5"/>
    <x v="42"/>
    <n v="117"/>
  </r>
  <r>
    <x v="2"/>
    <x v="5"/>
    <x v="19"/>
    <n v="108"/>
  </r>
  <r>
    <x v="2"/>
    <x v="5"/>
    <x v="38"/>
    <n v="100"/>
  </r>
  <r>
    <x v="2"/>
    <x v="5"/>
    <x v="0"/>
    <n v="85"/>
  </r>
  <r>
    <x v="2"/>
    <x v="5"/>
    <x v="31"/>
    <n v="85"/>
  </r>
  <r>
    <x v="2"/>
    <x v="5"/>
    <x v="2"/>
    <n v="85"/>
  </r>
  <r>
    <x v="2"/>
    <x v="5"/>
    <x v="17"/>
    <n v="82"/>
  </r>
  <r>
    <x v="2"/>
    <x v="5"/>
    <x v="9"/>
    <n v="74"/>
  </r>
  <r>
    <x v="2"/>
    <x v="5"/>
    <x v="52"/>
    <n v="74"/>
  </r>
  <r>
    <x v="2"/>
    <x v="5"/>
    <x v="59"/>
    <n v="73"/>
  </r>
  <r>
    <x v="2"/>
    <x v="5"/>
    <x v="34"/>
    <n v="72"/>
  </r>
  <r>
    <x v="2"/>
    <x v="5"/>
    <x v="1"/>
    <n v="65"/>
  </r>
  <r>
    <x v="2"/>
    <x v="5"/>
    <x v="70"/>
    <n v="62"/>
  </r>
  <r>
    <x v="2"/>
    <x v="5"/>
    <x v="24"/>
    <n v="60"/>
  </r>
  <r>
    <x v="2"/>
    <x v="5"/>
    <x v="44"/>
    <n v="52"/>
  </r>
  <r>
    <x v="2"/>
    <x v="5"/>
    <x v="60"/>
    <n v="50"/>
  </r>
  <r>
    <x v="2"/>
    <x v="5"/>
    <x v="8"/>
    <n v="50"/>
  </r>
  <r>
    <x v="2"/>
    <x v="5"/>
    <x v="28"/>
    <n v="42"/>
  </r>
  <r>
    <x v="2"/>
    <x v="5"/>
    <x v="23"/>
    <n v="40"/>
  </r>
  <r>
    <x v="2"/>
    <x v="5"/>
    <x v="12"/>
    <n v="40"/>
  </r>
  <r>
    <x v="2"/>
    <x v="5"/>
    <x v="18"/>
    <n v="40"/>
  </r>
  <r>
    <x v="2"/>
    <x v="5"/>
    <x v="20"/>
    <n v="40"/>
  </r>
  <r>
    <x v="2"/>
    <x v="5"/>
    <x v="7"/>
    <n v="40"/>
  </r>
  <r>
    <x v="2"/>
    <x v="5"/>
    <x v="29"/>
    <n v="38"/>
  </r>
  <r>
    <x v="2"/>
    <x v="5"/>
    <x v="13"/>
    <n v="35"/>
  </r>
  <r>
    <x v="2"/>
    <x v="5"/>
    <x v="57"/>
    <n v="35"/>
  </r>
  <r>
    <x v="2"/>
    <x v="5"/>
    <x v="33"/>
    <n v="34"/>
  </r>
  <r>
    <x v="2"/>
    <x v="5"/>
    <x v="43"/>
    <n v="30"/>
  </r>
  <r>
    <x v="2"/>
    <x v="5"/>
    <x v="69"/>
    <n v="30"/>
  </r>
  <r>
    <x v="2"/>
    <x v="5"/>
    <x v="22"/>
    <n v="30"/>
  </r>
  <r>
    <x v="2"/>
    <x v="5"/>
    <x v="71"/>
    <n v="30"/>
  </r>
  <r>
    <x v="2"/>
    <x v="5"/>
    <x v="54"/>
    <n v="30"/>
  </r>
  <r>
    <x v="2"/>
    <x v="5"/>
    <x v="55"/>
    <n v="30"/>
  </r>
  <r>
    <x v="2"/>
    <x v="5"/>
    <x v="48"/>
    <n v="28"/>
  </r>
  <r>
    <x v="2"/>
    <x v="5"/>
    <x v="73"/>
    <n v="27"/>
  </r>
  <r>
    <x v="2"/>
    <x v="5"/>
    <x v="63"/>
    <n v="24"/>
  </r>
  <r>
    <x v="2"/>
    <x v="5"/>
    <x v="49"/>
    <n v="24"/>
  </r>
  <r>
    <x v="2"/>
    <x v="5"/>
    <x v="67"/>
    <n v="23"/>
  </r>
  <r>
    <x v="2"/>
    <x v="5"/>
    <x v="65"/>
    <n v="21"/>
  </r>
  <r>
    <x v="2"/>
    <x v="5"/>
    <x v="46"/>
    <n v="20"/>
  </r>
  <r>
    <x v="2"/>
    <x v="5"/>
    <x v="76"/>
    <n v="20"/>
  </r>
  <r>
    <x v="2"/>
    <x v="5"/>
    <x v="45"/>
    <n v="20"/>
  </r>
  <r>
    <x v="2"/>
    <x v="5"/>
    <x v="56"/>
    <n v="19"/>
  </r>
  <r>
    <x v="2"/>
    <x v="5"/>
    <x v="14"/>
    <n v="15"/>
  </r>
  <r>
    <x v="2"/>
    <x v="5"/>
    <x v="21"/>
    <n v="15"/>
  </r>
  <r>
    <x v="2"/>
    <x v="5"/>
    <x v="68"/>
    <n v="15"/>
  </r>
  <r>
    <x v="2"/>
    <x v="5"/>
    <x v="26"/>
    <n v="15"/>
  </r>
  <r>
    <x v="2"/>
    <x v="5"/>
    <x v="35"/>
    <n v="15"/>
  </r>
  <r>
    <x v="2"/>
    <x v="5"/>
    <x v="36"/>
    <n v="10"/>
  </r>
  <r>
    <x v="2"/>
    <x v="5"/>
    <x v="41"/>
    <n v="10"/>
  </r>
  <r>
    <x v="2"/>
    <x v="5"/>
    <x v="51"/>
    <n v="10"/>
  </r>
  <r>
    <x v="2"/>
    <x v="5"/>
    <x v="16"/>
    <n v="4"/>
  </r>
  <r>
    <x v="2"/>
    <x v="5"/>
    <x v="58"/>
    <n v="3"/>
  </r>
  <r>
    <x v="2"/>
    <x v="5"/>
    <x v="10"/>
    <n v="1"/>
  </r>
  <r>
    <x v="2"/>
    <x v="6"/>
    <x v="14"/>
    <n v="156"/>
  </r>
  <r>
    <x v="2"/>
    <x v="6"/>
    <x v="1"/>
    <n v="147"/>
  </r>
  <r>
    <x v="2"/>
    <x v="6"/>
    <x v="44"/>
    <n v="131"/>
  </r>
  <r>
    <x v="2"/>
    <x v="6"/>
    <x v="10"/>
    <n v="115"/>
  </r>
  <r>
    <x v="2"/>
    <x v="6"/>
    <x v="57"/>
    <n v="111"/>
  </r>
  <r>
    <x v="2"/>
    <x v="6"/>
    <x v="65"/>
    <n v="105"/>
  </r>
  <r>
    <x v="2"/>
    <x v="6"/>
    <x v="38"/>
    <n v="104"/>
  </r>
  <r>
    <x v="2"/>
    <x v="6"/>
    <x v="28"/>
    <n v="98"/>
  </r>
  <r>
    <x v="2"/>
    <x v="6"/>
    <x v="13"/>
    <n v="96"/>
  </r>
  <r>
    <x v="2"/>
    <x v="6"/>
    <x v="30"/>
    <n v="91"/>
  </r>
  <r>
    <x v="2"/>
    <x v="6"/>
    <x v="45"/>
    <n v="91"/>
  </r>
  <r>
    <x v="2"/>
    <x v="6"/>
    <x v="62"/>
    <n v="90"/>
  </r>
  <r>
    <x v="2"/>
    <x v="6"/>
    <x v="66"/>
    <n v="88"/>
  </r>
  <r>
    <x v="2"/>
    <x v="6"/>
    <x v="36"/>
    <n v="87"/>
  </r>
  <r>
    <x v="2"/>
    <x v="6"/>
    <x v="40"/>
    <n v="84"/>
  </r>
  <r>
    <x v="2"/>
    <x v="6"/>
    <x v="46"/>
    <n v="79"/>
  </r>
  <r>
    <x v="2"/>
    <x v="6"/>
    <x v="25"/>
    <n v="74"/>
  </r>
  <r>
    <x v="2"/>
    <x v="6"/>
    <x v="68"/>
    <n v="70"/>
  </r>
  <r>
    <x v="2"/>
    <x v="6"/>
    <x v="6"/>
    <n v="64"/>
  </r>
  <r>
    <x v="2"/>
    <x v="6"/>
    <x v="0"/>
    <n v="62"/>
  </r>
  <r>
    <x v="2"/>
    <x v="6"/>
    <x v="33"/>
    <n v="62"/>
  </r>
  <r>
    <x v="2"/>
    <x v="6"/>
    <x v="39"/>
    <n v="60"/>
  </r>
  <r>
    <x v="2"/>
    <x v="6"/>
    <x v="26"/>
    <n v="59"/>
  </r>
  <r>
    <x v="2"/>
    <x v="6"/>
    <x v="11"/>
    <n v="59"/>
  </r>
  <r>
    <x v="2"/>
    <x v="6"/>
    <x v="20"/>
    <n v="55"/>
  </r>
  <r>
    <x v="2"/>
    <x v="6"/>
    <x v="48"/>
    <n v="55"/>
  </r>
  <r>
    <x v="2"/>
    <x v="6"/>
    <x v="21"/>
    <n v="52"/>
  </r>
  <r>
    <x v="2"/>
    <x v="6"/>
    <x v="9"/>
    <n v="52"/>
  </r>
  <r>
    <x v="2"/>
    <x v="6"/>
    <x v="70"/>
    <n v="51"/>
  </r>
  <r>
    <x v="2"/>
    <x v="6"/>
    <x v="22"/>
    <n v="50"/>
  </r>
  <r>
    <x v="2"/>
    <x v="6"/>
    <x v="2"/>
    <n v="50"/>
  </r>
  <r>
    <x v="2"/>
    <x v="6"/>
    <x v="59"/>
    <n v="44"/>
  </r>
  <r>
    <x v="2"/>
    <x v="6"/>
    <x v="43"/>
    <n v="41"/>
  </r>
  <r>
    <x v="2"/>
    <x v="6"/>
    <x v="69"/>
    <n v="40"/>
  </r>
  <r>
    <x v="2"/>
    <x v="6"/>
    <x v="12"/>
    <n v="40"/>
  </r>
  <r>
    <x v="2"/>
    <x v="6"/>
    <x v="73"/>
    <n v="36"/>
  </r>
  <r>
    <x v="2"/>
    <x v="6"/>
    <x v="53"/>
    <n v="35"/>
  </r>
  <r>
    <x v="2"/>
    <x v="6"/>
    <x v="31"/>
    <n v="35"/>
  </r>
  <r>
    <x v="2"/>
    <x v="6"/>
    <x v="55"/>
    <n v="35"/>
  </r>
  <r>
    <x v="2"/>
    <x v="6"/>
    <x v="56"/>
    <n v="35"/>
  </r>
  <r>
    <x v="2"/>
    <x v="6"/>
    <x v="76"/>
    <n v="30"/>
  </r>
  <r>
    <x v="2"/>
    <x v="6"/>
    <x v="4"/>
    <n v="30"/>
  </r>
  <r>
    <x v="2"/>
    <x v="6"/>
    <x v="52"/>
    <n v="29"/>
  </r>
  <r>
    <x v="2"/>
    <x v="6"/>
    <x v="27"/>
    <n v="29"/>
  </r>
  <r>
    <x v="2"/>
    <x v="6"/>
    <x v="29"/>
    <n v="25"/>
  </r>
  <r>
    <x v="2"/>
    <x v="6"/>
    <x v="64"/>
    <n v="21"/>
  </r>
  <r>
    <x v="2"/>
    <x v="6"/>
    <x v="67"/>
    <n v="20"/>
  </r>
  <r>
    <x v="2"/>
    <x v="6"/>
    <x v="3"/>
    <n v="20"/>
  </r>
  <r>
    <x v="2"/>
    <x v="6"/>
    <x v="37"/>
    <n v="20"/>
  </r>
  <r>
    <x v="2"/>
    <x v="6"/>
    <x v="42"/>
    <n v="20"/>
  </r>
  <r>
    <x v="2"/>
    <x v="6"/>
    <x v="71"/>
    <n v="20"/>
  </r>
  <r>
    <x v="2"/>
    <x v="6"/>
    <x v="7"/>
    <n v="20"/>
  </r>
  <r>
    <x v="2"/>
    <x v="6"/>
    <x v="8"/>
    <n v="20"/>
  </r>
  <r>
    <x v="2"/>
    <x v="6"/>
    <x v="34"/>
    <n v="18"/>
  </r>
  <r>
    <x v="2"/>
    <x v="6"/>
    <x v="41"/>
    <n v="16"/>
  </r>
  <r>
    <x v="2"/>
    <x v="6"/>
    <x v="17"/>
    <n v="15"/>
  </r>
  <r>
    <x v="2"/>
    <x v="6"/>
    <x v="5"/>
    <n v="13"/>
  </r>
  <r>
    <x v="2"/>
    <x v="6"/>
    <x v="23"/>
    <n v="10"/>
  </r>
  <r>
    <x v="2"/>
    <x v="6"/>
    <x v="74"/>
    <n v="8"/>
  </r>
  <r>
    <x v="2"/>
    <x v="6"/>
    <x v="61"/>
    <n v="6"/>
  </r>
  <r>
    <x v="2"/>
    <x v="6"/>
    <x v="19"/>
    <n v="6"/>
  </r>
  <r>
    <x v="2"/>
    <x v="6"/>
    <x v="15"/>
    <n v="5"/>
  </r>
  <r>
    <x v="2"/>
    <x v="6"/>
    <x v="75"/>
    <n v="3"/>
  </r>
  <r>
    <x v="2"/>
    <x v="7"/>
    <x v="34"/>
    <n v="164"/>
  </r>
  <r>
    <x v="2"/>
    <x v="7"/>
    <x v="12"/>
    <n v="146"/>
  </r>
  <r>
    <x v="2"/>
    <x v="7"/>
    <x v="42"/>
    <n v="134"/>
  </r>
  <r>
    <x v="2"/>
    <x v="7"/>
    <x v="11"/>
    <n v="133"/>
  </r>
  <r>
    <x v="2"/>
    <x v="7"/>
    <x v="7"/>
    <n v="126"/>
  </r>
  <r>
    <x v="2"/>
    <x v="7"/>
    <x v="31"/>
    <n v="115"/>
  </r>
  <r>
    <x v="2"/>
    <x v="7"/>
    <x v="3"/>
    <n v="105"/>
  </r>
  <r>
    <x v="2"/>
    <x v="7"/>
    <x v="10"/>
    <n v="103"/>
  </r>
  <r>
    <x v="2"/>
    <x v="7"/>
    <x v="18"/>
    <n v="100"/>
  </r>
  <r>
    <x v="2"/>
    <x v="7"/>
    <x v="68"/>
    <n v="100"/>
  </r>
  <r>
    <x v="2"/>
    <x v="7"/>
    <x v="14"/>
    <n v="100"/>
  </r>
  <r>
    <x v="2"/>
    <x v="7"/>
    <x v="19"/>
    <n v="95"/>
  </r>
  <r>
    <x v="2"/>
    <x v="7"/>
    <x v="40"/>
    <n v="90"/>
  </r>
  <r>
    <x v="2"/>
    <x v="7"/>
    <x v="16"/>
    <n v="87"/>
  </r>
  <r>
    <x v="2"/>
    <x v="7"/>
    <x v="13"/>
    <n v="83"/>
  </r>
  <r>
    <x v="2"/>
    <x v="7"/>
    <x v="66"/>
    <n v="80"/>
  </r>
  <r>
    <x v="2"/>
    <x v="7"/>
    <x v="44"/>
    <n v="80"/>
  </r>
  <r>
    <x v="2"/>
    <x v="7"/>
    <x v="45"/>
    <n v="73"/>
  </r>
  <r>
    <x v="2"/>
    <x v="7"/>
    <x v="21"/>
    <n v="65"/>
  </r>
  <r>
    <x v="2"/>
    <x v="7"/>
    <x v="28"/>
    <n v="64"/>
  </r>
  <r>
    <x v="2"/>
    <x v="7"/>
    <x v="17"/>
    <n v="64"/>
  </r>
  <r>
    <x v="2"/>
    <x v="7"/>
    <x v="2"/>
    <n v="63"/>
  </r>
  <r>
    <x v="2"/>
    <x v="7"/>
    <x v="0"/>
    <n v="61"/>
  </r>
  <r>
    <x v="2"/>
    <x v="7"/>
    <x v="59"/>
    <n v="58"/>
  </r>
  <r>
    <x v="2"/>
    <x v="7"/>
    <x v="48"/>
    <n v="55"/>
  </r>
  <r>
    <x v="2"/>
    <x v="7"/>
    <x v="61"/>
    <n v="50"/>
  </r>
  <r>
    <x v="2"/>
    <x v="7"/>
    <x v="76"/>
    <n v="50"/>
  </r>
  <r>
    <x v="2"/>
    <x v="7"/>
    <x v="63"/>
    <n v="50"/>
  </r>
  <r>
    <x v="2"/>
    <x v="7"/>
    <x v="9"/>
    <n v="49"/>
  </r>
  <r>
    <x v="2"/>
    <x v="7"/>
    <x v="55"/>
    <n v="45"/>
  </r>
  <r>
    <x v="2"/>
    <x v="7"/>
    <x v="62"/>
    <n v="42"/>
  </r>
  <r>
    <x v="2"/>
    <x v="7"/>
    <x v="56"/>
    <n v="42"/>
  </r>
  <r>
    <x v="2"/>
    <x v="7"/>
    <x v="24"/>
    <n v="40"/>
  </r>
  <r>
    <x v="2"/>
    <x v="7"/>
    <x v="1"/>
    <n v="40"/>
  </r>
  <r>
    <x v="2"/>
    <x v="7"/>
    <x v="26"/>
    <n v="37"/>
  </r>
  <r>
    <x v="2"/>
    <x v="7"/>
    <x v="52"/>
    <n v="37"/>
  </r>
  <r>
    <x v="2"/>
    <x v="7"/>
    <x v="38"/>
    <n v="37"/>
  </r>
  <r>
    <x v="2"/>
    <x v="7"/>
    <x v="57"/>
    <n v="35"/>
  </r>
  <r>
    <x v="2"/>
    <x v="7"/>
    <x v="25"/>
    <n v="35"/>
  </r>
  <r>
    <x v="2"/>
    <x v="7"/>
    <x v="29"/>
    <n v="32"/>
  </r>
  <r>
    <x v="2"/>
    <x v="7"/>
    <x v="58"/>
    <n v="30"/>
  </r>
  <r>
    <x v="2"/>
    <x v="7"/>
    <x v="71"/>
    <n v="30"/>
  </r>
  <r>
    <x v="2"/>
    <x v="7"/>
    <x v="64"/>
    <n v="30"/>
  </r>
  <r>
    <x v="2"/>
    <x v="7"/>
    <x v="33"/>
    <n v="25"/>
  </r>
  <r>
    <x v="2"/>
    <x v="7"/>
    <x v="67"/>
    <n v="22"/>
  </r>
  <r>
    <x v="2"/>
    <x v="7"/>
    <x v="69"/>
    <n v="21"/>
  </r>
  <r>
    <x v="2"/>
    <x v="7"/>
    <x v="53"/>
    <n v="21"/>
  </r>
  <r>
    <x v="2"/>
    <x v="7"/>
    <x v="65"/>
    <n v="20"/>
  </r>
  <r>
    <x v="2"/>
    <x v="7"/>
    <x v="15"/>
    <n v="20"/>
  </r>
  <r>
    <x v="2"/>
    <x v="7"/>
    <x v="22"/>
    <n v="20"/>
  </r>
  <r>
    <x v="2"/>
    <x v="7"/>
    <x v="6"/>
    <n v="20"/>
  </r>
  <r>
    <x v="2"/>
    <x v="7"/>
    <x v="73"/>
    <n v="15"/>
  </r>
  <r>
    <x v="2"/>
    <x v="7"/>
    <x v="30"/>
    <n v="10"/>
  </r>
  <r>
    <x v="2"/>
    <x v="7"/>
    <x v="47"/>
    <n v="10"/>
  </r>
  <r>
    <x v="2"/>
    <x v="7"/>
    <x v="51"/>
    <n v="10"/>
  </r>
  <r>
    <x v="2"/>
    <x v="7"/>
    <x v="37"/>
    <n v="6"/>
  </r>
  <r>
    <x v="2"/>
    <x v="7"/>
    <x v="70"/>
    <n v="5"/>
  </r>
  <r>
    <x v="2"/>
    <x v="7"/>
    <x v="27"/>
    <n v="3"/>
  </r>
  <r>
    <x v="2"/>
    <x v="7"/>
    <x v="49"/>
    <n v="3"/>
  </r>
  <r>
    <x v="2"/>
    <x v="7"/>
    <x v="5"/>
    <n v="2"/>
  </r>
  <r>
    <x v="2"/>
    <x v="8"/>
    <x v="45"/>
    <n v="288"/>
  </r>
  <r>
    <x v="2"/>
    <x v="8"/>
    <x v="42"/>
    <n v="217"/>
  </r>
  <r>
    <x v="2"/>
    <x v="8"/>
    <x v="29"/>
    <n v="217"/>
  </r>
  <r>
    <x v="2"/>
    <x v="8"/>
    <x v="12"/>
    <n v="200"/>
  </r>
  <r>
    <x v="2"/>
    <x v="8"/>
    <x v="2"/>
    <n v="173"/>
  </r>
  <r>
    <x v="2"/>
    <x v="8"/>
    <x v="28"/>
    <n v="156"/>
  </r>
  <r>
    <x v="2"/>
    <x v="8"/>
    <x v="25"/>
    <n v="153"/>
  </r>
  <r>
    <x v="2"/>
    <x v="8"/>
    <x v="18"/>
    <n v="148"/>
  </r>
  <r>
    <x v="2"/>
    <x v="8"/>
    <x v="30"/>
    <n v="139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149984.20000000001"/>
    <x v="0"/>
    <x v="0"/>
  </r>
  <r>
    <x v="1"/>
    <n v="87736.4"/>
    <x v="0"/>
    <x v="0"/>
  </r>
  <r>
    <x v="2"/>
    <n v="76296"/>
    <x v="0"/>
    <x v="0"/>
  </r>
  <r>
    <x v="3"/>
    <n v="50286"/>
    <x v="0"/>
    <x v="0"/>
  </r>
  <r>
    <x v="4"/>
    <n v="49827.9"/>
    <x v="0"/>
    <x v="0"/>
  </r>
  <r>
    <x v="5"/>
    <n v="45121.2"/>
    <x v="0"/>
    <x v="0"/>
  </r>
  <r>
    <x v="6"/>
    <n v="44742.6"/>
    <x v="0"/>
    <x v="0"/>
  </r>
  <r>
    <x v="7"/>
    <n v="35482.199999999997"/>
    <x v="0"/>
    <x v="0"/>
  </r>
  <r>
    <x v="8"/>
    <n v="31987.5"/>
    <x v="0"/>
    <x v="1"/>
  </r>
  <r>
    <x v="9"/>
    <n v="26865.599999999999"/>
    <x v="0"/>
    <x v="1"/>
  </r>
  <r>
    <x v="10"/>
    <n v="25738.799999999999"/>
    <x v="0"/>
    <x v="1"/>
  </r>
  <r>
    <x v="11"/>
    <n v="25079.200000000001"/>
    <x v="0"/>
    <x v="1"/>
  </r>
  <r>
    <x v="12"/>
    <n v="24307.200000000001"/>
    <x v="0"/>
    <x v="1"/>
  </r>
  <r>
    <x v="13"/>
    <n v="23635.8"/>
    <x v="0"/>
    <x v="1"/>
  </r>
  <r>
    <x v="14"/>
    <n v="23009"/>
    <x v="0"/>
    <x v="1"/>
  </r>
  <r>
    <x v="15"/>
    <n v="22464"/>
    <x v="0"/>
    <x v="1"/>
  </r>
  <r>
    <x v="16"/>
    <n v="22140.2"/>
    <x v="0"/>
    <x v="1"/>
  </r>
  <r>
    <x v="17"/>
    <n v="21534.9"/>
    <x v="0"/>
    <x v="1"/>
  </r>
  <r>
    <x v="18"/>
    <n v="21510.2"/>
    <x v="0"/>
    <x v="1"/>
  </r>
  <r>
    <x v="19"/>
    <n v="20876.5"/>
    <x v="0"/>
    <x v="1"/>
  </r>
  <r>
    <x v="20"/>
    <n v="19512"/>
    <x v="0"/>
    <x v="1"/>
  </r>
  <r>
    <x v="21"/>
    <n v="19048.3"/>
    <x v="0"/>
    <x v="1"/>
  </r>
  <r>
    <x v="22"/>
    <n v="18748.05"/>
    <x v="0"/>
    <x v="1"/>
  </r>
  <r>
    <x v="23"/>
    <n v="18559.2"/>
    <x v="0"/>
    <x v="1"/>
  </r>
  <r>
    <x v="24"/>
    <n v="17696.3"/>
    <x v="0"/>
    <x v="1"/>
  </r>
  <r>
    <x v="25"/>
    <n v="16794"/>
    <x v="0"/>
    <x v="1"/>
  </r>
  <r>
    <x v="26"/>
    <n v="16438.8"/>
    <x v="0"/>
    <x v="1"/>
  </r>
  <r>
    <x v="27"/>
    <n v="16172.5"/>
    <x v="0"/>
    <x v="1"/>
  </r>
  <r>
    <x v="28"/>
    <n v="15231.5"/>
    <x v="0"/>
    <x v="1"/>
  </r>
  <r>
    <x v="29"/>
    <n v="14775.54"/>
    <x v="0"/>
    <x v="1"/>
  </r>
  <r>
    <x v="30"/>
    <n v="14607"/>
    <x v="0"/>
    <x v="1"/>
  </r>
  <r>
    <x v="31"/>
    <n v="14542.6"/>
    <x v="0"/>
    <x v="1"/>
  </r>
  <r>
    <x v="32"/>
    <n v="14536.8"/>
    <x v="0"/>
    <x v="1"/>
  </r>
  <r>
    <x v="33"/>
    <n v="14277.6"/>
    <x v="0"/>
    <x v="1"/>
  </r>
  <r>
    <x v="34"/>
    <n v="13902"/>
    <x v="0"/>
    <x v="1"/>
  </r>
  <r>
    <x v="35"/>
    <n v="13760"/>
    <x v="0"/>
    <x v="1"/>
  </r>
  <r>
    <x v="36"/>
    <n v="13150.8"/>
    <x v="0"/>
    <x v="1"/>
  </r>
  <r>
    <x v="37"/>
    <n v="12866.8"/>
    <x v="0"/>
    <x v="1"/>
  </r>
  <r>
    <x v="38"/>
    <n v="11472"/>
    <x v="0"/>
    <x v="1"/>
  </r>
  <r>
    <x v="39"/>
    <n v="10524.2"/>
    <x v="0"/>
    <x v="1"/>
  </r>
  <r>
    <x v="40"/>
    <n v="9685"/>
    <x v="0"/>
    <x v="1"/>
  </r>
  <r>
    <x v="41"/>
    <n v="9636"/>
    <x v="0"/>
    <x v="1"/>
  </r>
  <r>
    <x v="42"/>
    <n v="9500"/>
    <x v="0"/>
    <x v="1"/>
  </r>
  <r>
    <x v="43"/>
    <n v="9424.7999999999993"/>
    <x v="0"/>
    <x v="1"/>
  </r>
  <r>
    <x v="44"/>
    <n v="9362.5"/>
    <x v="0"/>
    <x v="1"/>
  </r>
  <r>
    <x v="45"/>
    <n v="9332.4"/>
    <x v="0"/>
    <x v="1"/>
  </r>
  <r>
    <x v="46"/>
    <n v="9171.2000000000007"/>
    <x v="0"/>
    <x v="1"/>
  </r>
  <r>
    <x v="47"/>
    <n v="9098.1"/>
    <x v="0"/>
    <x v="1"/>
  </r>
  <r>
    <x v="48"/>
    <n v="8827"/>
    <x v="0"/>
    <x v="1"/>
  </r>
  <r>
    <x v="49"/>
    <n v="8650.5499999999993"/>
    <x v="0"/>
    <x v="2"/>
  </r>
  <r>
    <x v="50"/>
    <n v="8630.4"/>
    <x v="0"/>
    <x v="2"/>
  </r>
  <r>
    <x v="51"/>
    <n v="7807.8"/>
    <x v="0"/>
    <x v="2"/>
  </r>
  <r>
    <x v="52"/>
    <n v="7345"/>
    <x v="0"/>
    <x v="2"/>
  </r>
  <r>
    <x v="53"/>
    <n v="7232.4"/>
    <x v="0"/>
    <x v="2"/>
  </r>
  <r>
    <x v="54"/>
    <n v="6678"/>
    <x v="0"/>
    <x v="2"/>
  </r>
  <r>
    <x v="55"/>
    <n v="6664.75"/>
    <x v="0"/>
    <x v="2"/>
  </r>
  <r>
    <x v="56"/>
    <n v="6159.5"/>
    <x v="0"/>
    <x v="2"/>
  </r>
  <r>
    <x v="57"/>
    <n v="6144"/>
    <x v="0"/>
    <x v="2"/>
  </r>
  <r>
    <x v="58"/>
    <n v="5801.15"/>
    <x v="0"/>
    <x v="2"/>
  </r>
  <r>
    <x v="59"/>
    <n v="5234.3999999999996"/>
    <x v="0"/>
    <x v="2"/>
  </r>
  <r>
    <x v="60"/>
    <n v="5121"/>
    <x v="0"/>
    <x v="2"/>
  </r>
  <r>
    <x v="61"/>
    <n v="4840.2"/>
    <x v="0"/>
    <x v="2"/>
  </r>
  <r>
    <x v="62"/>
    <n v="4782.6000000000004"/>
    <x v="0"/>
    <x v="2"/>
  </r>
  <r>
    <x v="63"/>
    <n v="4740.5"/>
    <x v="0"/>
    <x v="2"/>
  </r>
  <r>
    <x v="64"/>
    <n v="4358.6000000000004"/>
    <x v="0"/>
    <x v="2"/>
  </r>
  <r>
    <x v="65"/>
    <n v="4200"/>
    <x v="0"/>
    <x v="2"/>
  </r>
  <r>
    <x v="66"/>
    <n v="4051.6"/>
    <x v="0"/>
    <x v="2"/>
  </r>
  <r>
    <x v="67"/>
    <n v="3519"/>
    <x v="0"/>
    <x v="2"/>
  </r>
  <r>
    <x v="68"/>
    <n v="3510"/>
    <x v="0"/>
    <x v="2"/>
  </r>
  <r>
    <x v="69"/>
    <n v="3383.8"/>
    <x v="0"/>
    <x v="2"/>
  </r>
  <r>
    <x v="70"/>
    <n v="3080"/>
    <x v="0"/>
    <x v="2"/>
  </r>
  <r>
    <x v="71"/>
    <n v="3047.2"/>
    <x v="0"/>
    <x v="2"/>
  </r>
  <r>
    <x v="72"/>
    <n v="2566"/>
    <x v="0"/>
    <x v="2"/>
  </r>
  <r>
    <x v="73"/>
    <n v="2562"/>
    <x v="0"/>
    <x v="2"/>
  </r>
  <r>
    <x v="74"/>
    <n v="1813.5"/>
    <x v="0"/>
    <x v="2"/>
  </r>
  <r>
    <x v="75"/>
    <n v="1713.5"/>
    <x v="0"/>
    <x v="2"/>
  </r>
  <r>
    <x v="76"/>
    <n v="1542.75"/>
    <x v="0"/>
    <x v="2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3"/>
    <n v="76.75"/>
  </r>
  <r>
    <x v="1"/>
    <n v="3"/>
    <n v="37.6"/>
  </r>
  <r>
    <x v="2"/>
    <n v="2"/>
    <n v="33.83"/>
  </r>
  <r>
    <x v="3"/>
    <n v="2"/>
    <n v="30.46"/>
  </r>
  <r>
    <x v="4"/>
    <n v="1"/>
    <n v="29.5"/>
  </r>
  <r>
    <x v="5"/>
    <n v="2"/>
    <n v="27.36"/>
  </r>
  <r>
    <x v="6"/>
    <n v="2"/>
    <n v="27.31"/>
  </r>
  <r>
    <x v="7"/>
    <n v="1"/>
    <n v="26.48"/>
  </r>
  <r>
    <x v="8"/>
    <n v="2"/>
    <n v="22.81"/>
  </r>
  <r>
    <x v="9"/>
    <n v="4"/>
    <n v="20.87"/>
  </r>
  <r>
    <x v="10"/>
    <n v="1"/>
    <n v="20"/>
  </r>
  <r>
    <x v="11"/>
    <n v="1"/>
    <n v="20"/>
  </r>
  <r>
    <x v="12"/>
    <n v="1"/>
    <n v="18.079999999999998"/>
  </r>
  <r>
    <x v="11"/>
    <n v="1"/>
    <n v="15"/>
  </r>
  <r>
    <x v="13"/>
    <n v="1"/>
    <n v="11.12"/>
  </r>
  <r>
    <x v="14"/>
    <n v="1"/>
    <n v="10.75"/>
  </r>
  <r>
    <x v="15"/>
    <n v="1"/>
    <n v="4.5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8"/>
  </r>
  <r>
    <x v="1"/>
    <n v="8"/>
  </r>
  <r>
    <x v="2"/>
    <n v="8"/>
  </r>
  <r>
    <x v="3"/>
    <n v="6"/>
  </r>
  <r>
    <x v="4"/>
    <n v="5"/>
  </r>
  <r>
    <x v="5"/>
    <n v="5"/>
  </r>
  <r>
    <x v="6"/>
    <n v="5"/>
  </r>
  <r>
    <x v="7"/>
    <n v="4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n v="62.5"/>
  </r>
  <r>
    <x v="0"/>
    <x v="1"/>
    <n v="53"/>
  </r>
  <r>
    <x v="0"/>
    <x v="2"/>
    <n v="43.9"/>
  </r>
  <r>
    <x v="0"/>
    <x v="3"/>
    <n v="35.9"/>
  </r>
  <r>
    <x v="0"/>
    <x v="4"/>
    <n v="17.45"/>
  </r>
  <r>
    <x v="0"/>
    <x v="5"/>
    <n v="15"/>
  </r>
  <r>
    <x v="0"/>
    <x v="6"/>
    <n v="7"/>
  </r>
  <r>
    <x v="1"/>
    <x v="5"/>
    <n v="4.5"/>
  </r>
  <r>
    <x v="2"/>
    <x v="4"/>
    <n v="49.3"/>
  </r>
  <r>
    <x v="2"/>
    <x v="2"/>
    <n v="28.5"/>
  </r>
  <r>
    <x v="2"/>
    <x v="3"/>
    <n v="15.72"/>
  </r>
  <r>
    <x v="3"/>
    <x v="0"/>
    <n v="10.75"/>
  </r>
  <r>
    <x v="4"/>
    <x v="4"/>
    <n v="18.12"/>
  </r>
  <r>
    <x v="4"/>
    <x v="5"/>
    <n v="18"/>
  </r>
  <r>
    <x v="5"/>
    <x v="5"/>
    <n v="140.75"/>
  </r>
  <r>
    <x v="5"/>
    <x v="7"/>
    <n v="44.5"/>
  </r>
  <r>
    <x v="5"/>
    <x v="0"/>
    <n v="13.25"/>
  </r>
  <r>
    <x v="6"/>
    <x v="3"/>
    <n v="123.79"/>
  </r>
  <r>
    <x v="6"/>
    <x v="1"/>
    <n v="45.6"/>
  </r>
  <r>
    <x v="6"/>
    <x v="6"/>
    <n v="33.25"/>
  </r>
  <r>
    <x v="6"/>
    <x v="4"/>
    <n v="29.71"/>
  </r>
  <r>
    <x v="6"/>
    <x v="0"/>
    <n v="25.89"/>
  </r>
  <r>
    <x v="6"/>
    <x v="2"/>
    <n v="13"/>
  </r>
  <r>
    <x v="6"/>
    <x v="5"/>
    <n v="7.75"/>
  </r>
  <r>
    <x v="7"/>
    <x v="6"/>
    <n v="28.75"/>
  </r>
  <r>
    <x v="7"/>
    <x v="7"/>
    <n v="26.43"/>
  </r>
  <r>
    <x v="8"/>
    <x v="3"/>
    <n v="97"/>
  </r>
  <r>
    <x v="8"/>
    <x v="0"/>
    <n v="18.5"/>
  </r>
  <r>
    <x v="8"/>
    <x v="1"/>
    <n v="16.62"/>
  </r>
  <r>
    <x v="8"/>
    <x v="2"/>
    <n v="15.5"/>
  </r>
  <r>
    <x v="9"/>
    <x v="4"/>
    <n v="11.12"/>
  </r>
  <r>
    <x v="10"/>
    <x v="7"/>
    <n v="20"/>
  </r>
  <r>
    <x v="11"/>
    <x v="5"/>
    <n v="46"/>
  </r>
  <r>
    <x v="11"/>
    <x v="2"/>
    <n v="19.45"/>
  </r>
  <r>
    <x v="11"/>
    <x v="6"/>
    <n v="14"/>
  </r>
  <r>
    <x v="12"/>
    <x v="7"/>
    <n v="29.5"/>
  </r>
  <r>
    <x v="13"/>
    <x v="0"/>
    <n v="20"/>
  </r>
  <r>
    <x v="13"/>
    <x v="6"/>
    <n v="15"/>
  </r>
  <r>
    <x v="14"/>
    <x v="4"/>
    <n v="28.18"/>
  </r>
  <r>
    <x v="14"/>
    <x v="5"/>
    <n v="18.5"/>
  </r>
  <r>
    <x v="14"/>
    <x v="2"/>
    <n v="10"/>
  </r>
  <r>
    <x v="15"/>
    <x v="1"/>
    <n v="30"/>
  </r>
  <r>
    <x v="15"/>
    <x v="2"/>
    <n v="24.4"/>
  </r>
  <r>
    <x v="15"/>
    <x v="5"/>
    <n v="15.33"/>
  </r>
  <r>
    <x v="15"/>
    <x v="0"/>
    <n v="14.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E6C7D-7EA0-4094-967F-9DF587B00339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12:F14" firstHeaderRow="0" firstDataRow="1" firstDataCol="1"/>
  <pivotFields count="6">
    <pivotField dataField="1" showAll="0"/>
    <pivotField showAll="0"/>
    <pivotField dataField="1" showAll="0"/>
    <pivotField showAll="0"/>
    <pivotField axis="axisRow" showAll="0">
      <items count="2">
        <item x="0"/>
        <item t="default"/>
      </items>
    </pivotField>
    <pivotField showAll="0"/>
  </pivotFields>
  <rowFields count="1">
    <field x="4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0" baseItem="0"/>
    <dataField name="Average of total_spend" fld="2" subtotal="average" baseField="4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1E0740-557B-446E-BDF8-DA5D0A7F7AFD}" name="PivotTable1" cacheId="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" firstHeaderRow="0" firstDataRow="0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DB1B4-4D41-436F-AF17-9FA16AC46121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6:Q28" firstHeaderRow="0" firstDataRow="1" firstDataCol="1"/>
  <pivotFields count="7">
    <pivotField axis="axisRow" showAll="0">
      <items count="22">
        <item sd="0" x="19"/>
        <item sd="0" x="1"/>
        <item sd="0" x="7"/>
        <item sd="0" x="13"/>
        <item sd="0" x="4"/>
        <item sd="0" x="9"/>
        <item sd="0" x="10"/>
        <item sd="0" x="6"/>
        <item sd="0" x="0"/>
        <item sd="0" x="3"/>
        <item sd="0" x="14"/>
        <item sd="0" x="20"/>
        <item sd="0" x="16"/>
        <item sd="0" x="17"/>
        <item sd="0" x="18"/>
        <item sd="0" x="12"/>
        <item sd="0" x="5"/>
        <item sd="0" x="11"/>
        <item sd="0" x="15"/>
        <item sd="0" x="2"/>
        <item sd="0" x="8"/>
        <item t="default" sd="0"/>
      </items>
    </pivotField>
    <pivotField axis="axisRow" showAll="0">
      <items count="70">
        <item x="21"/>
        <item x="51"/>
        <item x="4"/>
        <item x="24"/>
        <item x="56"/>
        <item x="20"/>
        <item x="36"/>
        <item x="43"/>
        <item x="33"/>
        <item x="2"/>
        <item x="6"/>
        <item x="7"/>
        <item x="30"/>
        <item x="65"/>
        <item x="52"/>
        <item x="35"/>
        <item x="54"/>
        <item x="12"/>
        <item x="3"/>
        <item x="39"/>
        <item x="0"/>
        <item x="46"/>
        <item x="18"/>
        <item x="15"/>
        <item x="23"/>
        <item x="1"/>
        <item x="45"/>
        <item x="25"/>
        <item x="19"/>
        <item x="27"/>
        <item x="53"/>
        <item x="26"/>
        <item x="41"/>
        <item x="28"/>
        <item x="60"/>
        <item x="68"/>
        <item x="8"/>
        <item x="32"/>
        <item x="67"/>
        <item x="9"/>
        <item x="42"/>
        <item x="61"/>
        <item x="48"/>
        <item x="10"/>
        <item x="5"/>
        <item x="63"/>
        <item x="22"/>
        <item x="49"/>
        <item x="62"/>
        <item x="38"/>
        <item x="55"/>
        <item x="37"/>
        <item x="64"/>
        <item x="66"/>
        <item x="11"/>
        <item x="13"/>
        <item x="44"/>
        <item x="16"/>
        <item x="29"/>
        <item x="40"/>
        <item x="17"/>
        <item x="34"/>
        <item x="59"/>
        <item x="31"/>
        <item x="14"/>
        <item x="57"/>
        <item x="50"/>
        <item x="58"/>
        <item x="47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4" baseField="0" baseItem="0"/>
    <dataField name="Sum of  total_orders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750A7-6ED2-4AA9-B7E6-D8B7C4F658F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7:N15" firstHeaderRow="1" firstDataRow="1" firstDataCol="1"/>
  <pivotFields count="4">
    <pivotField dataField="1" showAll="0"/>
    <pivotField axis="axisRow" showAll="0">
      <items count="8">
        <item x="2"/>
        <item x="4"/>
        <item x="3"/>
        <item x="1"/>
        <item x="5"/>
        <item x="6"/>
        <item x="0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Number of Customers" fld="0" subtotal="count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16077-AE81-46C3-8F3E-D9D68B42D38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Q5:S9" firstHeaderRow="0" firstDataRow="1" firstDataCol="1"/>
  <pivotFields count="7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contribution_percent" fld="6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CEF08-FD03-48A0-978A-FD3821CD0F3B}" name="PivotTable7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P5:Q90" firstHeaderRow="1" firstDataRow="1" firstDataCol="1" rowPageCount="3" colPageCount="1"/>
  <pivotFields count="8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30">
        <item x="5"/>
        <item x="25"/>
        <item x="13"/>
        <item x="22"/>
        <item x="26"/>
        <item x="21"/>
        <item x="0"/>
        <item x="2"/>
        <item x="12"/>
        <item x="10"/>
        <item x="23"/>
        <item x="1"/>
        <item x="27"/>
        <item x="11"/>
        <item x="18"/>
        <item x="24"/>
        <item x="7"/>
        <item x="15"/>
        <item x="19"/>
        <item x="8"/>
        <item x="4"/>
        <item x="6"/>
        <item x="14"/>
        <item x="3"/>
        <item x="28"/>
        <item x="20"/>
        <item x="16"/>
        <item x="9"/>
        <item x="17"/>
        <item t="default"/>
      </items>
    </pivotField>
    <pivotField axis="axisRow" showAll="0">
      <items count="9">
        <item x="0"/>
        <item x="4"/>
        <item x="1"/>
        <item x="2"/>
        <item x="5"/>
        <item x="3"/>
        <item x="6"/>
        <item x="7"/>
        <item t="default"/>
      </items>
    </pivotField>
    <pivotField axis="axisRow" showAll="0">
      <items count="43">
        <item x="31"/>
        <item x="25"/>
        <item x="17"/>
        <item x="28"/>
        <item x="40"/>
        <item x="16"/>
        <item x="18"/>
        <item x="5"/>
        <item x="10"/>
        <item x="1"/>
        <item x="2"/>
        <item x="3"/>
        <item x="39"/>
        <item x="24"/>
        <item x="35"/>
        <item x="4"/>
        <item x="0"/>
        <item x="29"/>
        <item x="19"/>
        <item x="30"/>
        <item x="22"/>
        <item x="21"/>
        <item x="6"/>
        <item x="27"/>
        <item x="37"/>
        <item x="26"/>
        <item x="15"/>
        <item x="33"/>
        <item x="34"/>
        <item x="23"/>
        <item x="20"/>
        <item x="32"/>
        <item x="11"/>
        <item x="13"/>
        <item x="9"/>
        <item x="12"/>
        <item x="41"/>
        <item x="7"/>
        <item x="14"/>
        <item x="38"/>
        <item x="36"/>
        <item x="8"/>
        <item t="default"/>
      </items>
    </pivotField>
    <pivotField dataField="1" showAll="0"/>
    <pivotField axis="axisPage" multipleItemSelectionAllowed="1" showAll="0">
      <items count="4">
        <item h="1" x="1"/>
        <item h="1" x="2"/>
        <item x="0"/>
        <item t="default"/>
      </items>
    </pivotField>
    <pivotField axis="axisPage" multipleItemSelectionAllowed="1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</pivotFields>
  <rowFields count="4">
    <field x="0"/>
    <field x="1"/>
    <field x="2"/>
    <field x="3"/>
  </rowFields>
  <rowItems count="85">
    <i>
      <x/>
    </i>
    <i r="1">
      <x v="6"/>
    </i>
    <i r="2">
      <x/>
    </i>
    <i r="3">
      <x v="16"/>
    </i>
    <i>
      <x v="1"/>
    </i>
    <i r="1">
      <x v="11"/>
    </i>
    <i r="2">
      <x v="3"/>
    </i>
    <i r="3">
      <x v="15"/>
    </i>
    <i>
      <x v="2"/>
    </i>
    <i r="1">
      <x v="7"/>
    </i>
    <i r="2">
      <x/>
    </i>
    <i r="3">
      <x v="37"/>
    </i>
    <i>
      <x v="3"/>
    </i>
    <i r="1">
      <x v="23"/>
    </i>
    <i r="2">
      <x v="2"/>
    </i>
    <i r="3">
      <x v="8"/>
    </i>
    <i>
      <x v="4"/>
    </i>
    <i r="1">
      <x v="20"/>
    </i>
    <i r="2">
      <x v="2"/>
    </i>
    <i r="3">
      <x v="35"/>
    </i>
    <i>
      <x v="5"/>
    </i>
    <i r="1">
      <x/>
    </i>
    <i r="2">
      <x/>
    </i>
    <i r="3">
      <x v="16"/>
    </i>
    <i>
      <x v="6"/>
    </i>
    <i r="1">
      <x v="21"/>
    </i>
    <i r="2">
      <x v="6"/>
    </i>
    <i r="3">
      <x v="5"/>
    </i>
    <i>
      <x v="7"/>
    </i>
    <i r="1">
      <x v="16"/>
    </i>
    <i r="2">
      <x v="7"/>
    </i>
    <i r="3">
      <x v="2"/>
    </i>
    <i>
      <x v="8"/>
    </i>
    <i r="1">
      <x v="13"/>
    </i>
    <i r="2">
      <x v="7"/>
    </i>
    <i r="3">
      <x v="20"/>
    </i>
    <i>
      <x v="9"/>
    </i>
    <i r="1">
      <x v="8"/>
    </i>
    <i r="2">
      <x v="5"/>
    </i>
    <i r="3">
      <x v="13"/>
    </i>
    <i>
      <x v="10"/>
    </i>
    <i r="1">
      <x v="2"/>
    </i>
    <i r="2">
      <x v="1"/>
    </i>
    <i r="3">
      <x v="1"/>
    </i>
    <i>
      <x v="11"/>
    </i>
    <i r="1">
      <x v="17"/>
    </i>
    <i r="2">
      <x v="5"/>
    </i>
    <i r="3">
      <x v="7"/>
    </i>
    <i>
      <x v="12"/>
    </i>
    <i r="1">
      <x v="26"/>
    </i>
    <i r="2">
      <x/>
    </i>
    <i r="3">
      <x v="19"/>
    </i>
    <i>
      <x v="13"/>
    </i>
    <i r="1">
      <x v="28"/>
    </i>
    <i r="2">
      <x/>
    </i>
    <i r="3">
      <x v="11"/>
    </i>
    <i>
      <x v="14"/>
    </i>
    <i r="1">
      <x v="14"/>
    </i>
    <i r="2">
      <x v="1"/>
    </i>
    <i r="3">
      <x v="23"/>
    </i>
    <i>
      <x v="15"/>
    </i>
    <i r="1">
      <x v="25"/>
    </i>
    <i r="2">
      <x v="1"/>
    </i>
    <i r="3">
      <x v="34"/>
    </i>
    <i>
      <x v="16"/>
    </i>
    <i r="1">
      <x v="5"/>
    </i>
    <i r="2">
      <x v="6"/>
    </i>
    <i r="3">
      <x v="24"/>
    </i>
    <i>
      <x v="17"/>
    </i>
    <i r="1">
      <x v="3"/>
    </i>
    <i r="2">
      <x v="6"/>
    </i>
    <i r="3">
      <x v="39"/>
    </i>
    <i>
      <x v="18"/>
    </i>
    <i r="1">
      <x v="15"/>
    </i>
    <i r="2">
      <x/>
    </i>
    <i r="3">
      <x v="37"/>
    </i>
    <i>
      <x v="19"/>
    </i>
    <i r="1">
      <x v="4"/>
    </i>
    <i r="2">
      <x v="4"/>
    </i>
    <i r="3">
      <x v="27"/>
    </i>
    <i>
      <x v="20"/>
    </i>
    <i r="1">
      <x v="12"/>
    </i>
    <i r="2">
      <x v="2"/>
    </i>
    <i r="3">
      <x v="6"/>
    </i>
    <i t="grand">
      <x/>
    </i>
  </rowItems>
  <colItems count="1">
    <i/>
  </colItems>
  <pageFields count="3">
    <pageField fld="5" hier="-1"/>
    <pageField fld="6" hier="-1"/>
    <pageField fld="7" hier="-1"/>
  </pageFields>
  <dataFields count="1">
    <dataField name="Sum of order_count" fld="4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CF8F7-6ABD-4A71-9652-25F238A13ECF}" name="PivotTable8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M4:R13" firstHeaderRow="1" firstDataRow="2" firstDataCol="1"/>
  <pivotFields count="4">
    <pivotField axis="axisRow" showAll="0">
      <items count="3">
        <item x="0"/>
        <item x="1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dataField="1" showAll="0"/>
  </pivotFields>
  <rowFields count="2">
    <field x="0"/>
    <field x="1"/>
  </rowFields>
  <rowItems count="8">
    <i>
      <x/>
    </i>
    <i r="1">
      <x v="1"/>
    </i>
    <i>
      <x v="1"/>
    </i>
    <i r="1">
      <x/>
    </i>
    <i r="1">
      <x v="2"/>
    </i>
    <i r="1">
      <x v="3"/>
    </i>
    <i r="1">
      <x v="4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employee" fld="3" baseField="0" baseItem="0"/>
  </dataFields>
  <chartFormats count="4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9D717-D7FC-4E84-83D0-904AFF24E43E}" name="PivotTable9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5:H15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dataField="1" showAll="0"/>
  </pivotFields>
  <rowFields count="2">
    <field x="0"/>
    <field x="1"/>
  </rowFields>
  <rowItems count="10">
    <i>
      <x/>
    </i>
    <i r="1">
      <x v="2"/>
    </i>
    <i r="1">
      <x v="3"/>
    </i>
    <i>
      <x v="1"/>
    </i>
    <i r="1">
      <x v="1"/>
    </i>
    <i r="1">
      <x v="2"/>
    </i>
    <i>
      <x v="2"/>
    </i>
    <i r="1">
      <x/>
    </i>
    <i r="1">
      <x v="2"/>
    </i>
    <i t="grand">
      <x/>
    </i>
  </rowItems>
  <colItems count="1">
    <i/>
  </colItems>
  <dataFields count="1">
    <dataField name="Sum of total_hire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7DBD2-B308-4CEF-8A34-E657AB8A29C9}" name="PivotTable1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:N1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dataField="1" showAll="0"/>
  </pivotFields>
  <rowFields count="2">
    <field x="1"/>
    <field x="0"/>
  </rowFields>
  <rowItems count="11">
    <i>
      <x/>
    </i>
    <i r="1">
      <x v="3"/>
    </i>
    <i>
      <x v="1"/>
    </i>
    <i r="1">
      <x v="1"/>
    </i>
    <i r="1">
      <x v="2"/>
    </i>
    <i>
      <x v="2"/>
    </i>
    <i r="1">
      <x v="2"/>
    </i>
    <i>
      <x v="3"/>
    </i>
    <i r="1">
      <x/>
    </i>
    <i r="1">
      <x v="2"/>
    </i>
    <i t="grand">
      <x/>
    </i>
  </rowItems>
  <colItems count="1">
    <i/>
  </colItems>
  <dataFields count="1">
    <dataField name="Sum of total_employee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C0888-2B81-4F3A-B498-3CDAF05510F3}" name="PivotTable1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M7:Q85" firstHeaderRow="0" firstDataRow="1" firstDataCol="1"/>
  <pivotFields count="6">
    <pivotField showAll="0">
      <items count="78">
        <item x="33"/>
        <item x="23"/>
        <item x="70"/>
        <item x="43"/>
        <item x="58"/>
        <item x="52"/>
        <item x="15"/>
        <item x="35"/>
        <item x="48"/>
        <item x="16"/>
        <item x="34"/>
        <item x="37"/>
        <item x="59"/>
        <item x="50"/>
        <item x="74"/>
        <item x="22"/>
        <item x="7"/>
        <item x="8"/>
        <item x="56"/>
        <item x="13"/>
        <item x="41"/>
        <item x="53"/>
        <item x="61"/>
        <item x="62"/>
        <item x="66"/>
        <item x="17"/>
        <item x="28"/>
        <item x="9"/>
        <item x="1"/>
        <item x="29"/>
        <item x="27"/>
        <item x="46"/>
        <item x="75"/>
        <item x="54"/>
        <item x="32"/>
        <item x="31"/>
        <item x="71"/>
        <item x="0"/>
        <item x="36"/>
        <item x="21"/>
        <item x="47"/>
        <item x="45"/>
        <item x="11"/>
        <item x="39"/>
        <item x="63"/>
        <item x="57"/>
        <item x="64"/>
        <item x="76"/>
        <item x="42"/>
        <item x="68"/>
        <item x="6"/>
        <item x="69"/>
        <item x="18"/>
        <item x="60"/>
        <item x="20"/>
        <item x="5"/>
        <item x="51"/>
        <item x="55"/>
        <item x="2"/>
        <item x="3"/>
        <item x="26"/>
        <item x="4"/>
        <item x="24"/>
        <item x="14"/>
        <item x="30"/>
        <item x="67"/>
        <item x="73"/>
        <item x="44"/>
        <item x="12"/>
        <item x="38"/>
        <item x="19"/>
        <item x="10"/>
        <item x="65"/>
        <item x="72"/>
        <item x="49"/>
        <item x="25"/>
        <item x="40"/>
        <item t="default"/>
      </items>
    </pivotField>
    <pivotField axis="axisRow" showAll="0">
      <items count="78">
        <item x="7"/>
        <item x="70"/>
        <item x="21"/>
        <item x="0"/>
        <item x="3"/>
        <item x="8"/>
        <item x="33"/>
        <item x="23"/>
        <item x="36"/>
        <item x="43"/>
        <item x="58"/>
        <item x="76"/>
        <item x="55"/>
        <item x="69"/>
        <item x="19"/>
        <item x="75"/>
        <item x="74"/>
        <item x="5"/>
        <item x="27"/>
        <item x="52"/>
        <item x="71"/>
        <item x="62"/>
        <item x="12"/>
        <item x="39"/>
        <item x="17"/>
        <item x="53"/>
        <item x="16"/>
        <item x="31"/>
        <item x="11"/>
        <item x="47"/>
        <item x="59"/>
        <item x="25"/>
        <item x="73"/>
        <item x="72"/>
        <item x="30"/>
        <item x="67"/>
        <item x="6"/>
        <item x="46"/>
        <item x="42"/>
        <item x="48"/>
        <item x="10"/>
        <item x="29"/>
        <item x="35"/>
        <item x="66"/>
        <item x="40"/>
        <item x="38"/>
        <item x="20"/>
        <item x="22"/>
        <item x="18"/>
        <item x="34"/>
        <item x="37"/>
        <item x="63"/>
        <item x="65"/>
        <item x="9"/>
        <item x="2"/>
        <item x="51"/>
        <item x="49"/>
        <item x="54"/>
        <item x="28"/>
        <item x="44"/>
        <item x="45"/>
        <item x="13"/>
        <item x="41"/>
        <item x="26"/>
        <item x="57"/>
        <item x="32"/>
        <item x="4"/>
        <item x="56"/>
        <item x="1"/>
        <item x="50"/>
        <item x="60"/>
        <item x="61"/>
        <item x="15"/>
        <item x="68"/>
        <item x="24"/>
        <item x="14"/>
        <item x="64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1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revenue" fld="5" baseField="0" baseItem="0"/>
    <dataField name="Sum of price" fld="2" baseField="0" baseItem="0"/>
    <dataField name="Sum of stock" fld="3" baseField="0" baseItem="0"/>
    <dataField name="Sum of total_quantity_sold" fld="4" baseField="0" baseItem="0"/>
  </dataField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DC452-9DFB-40CA-B2A6-75B30C387C24}" name="PivotTable1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M5:Z234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Row" showAll="0">
      <items count="78">
        <item x="19"/>
        <item x="46"/>
        <item x="10"/>
        <item x="68"/>
        <item x="14"/>
        <item x="55"/>
        <item x="40"/>
        <item x="0"/>
        <item x="11"/>
        <item x="64"/>
        <item x="4"/>
        <item x="74"/>
        <item x="62"/>
        <item x="67"/>
        <item x="48"/>
        <item x="3"/>
        <item x="50"/>
        <item x="38"/>
        <item x="25"/>
        <item x="61"/>
        <item x="39"/>
        <item x="12"/>
        <item x="63"/>
        <item x="41"/>
        <item x="65"/>
        <item x="36"/>
        <item x="44"/>
        <item x="22"/>
        <item x="43"/>
        <item x="9"/>
        <item x="45"/>
        <item x="30"/>
        <item x="58"/>
        <item x="8"/>
        <item x="17"/>
        <item x="60"/>
        <item x="5"/>
        <item x="37"/>
        <item x="16"/>
        <item x="75"/>
        <item x="20"/>
        <item x="7"/>
        <item x="71"/>
        <item x="70"/>
        <item x="21"/>
        <item x="13"/>
        <item x="24"/>
        <item x="2"/>
        <item x="27"/>
        <item x="31"/>
        <item x="32"/>
        <item x="73"/>
        <item x="47"/>
        <item x="49"/>
        <item x="1"/>
        <item x="6"/>
        <item x="42"/>
        <item x="51"/>
        <item x="23"/>
        <item x="59"/>
        <item x="33"/>
        <item x="15"/>
        <item x="18"/>
        <item x="76"/>
        <item x="53"/>
        <item x="26"/>
        <item x="28"/>
        <item x="52"/>
        <item x="34"/>
        <item x="35"/>
        <item x="56"/>
        <item x="66"/>
        <item x="29"/>
        <item x="72"/>
        <item x="54"/>
        <item x="57"/>
        <item x="69"/>
        <item t="default"/>
      </items>
    </pivotField>
    <pivotField dataField="1" showAll="0"/>
  </pivotFields>
  <rowFields count="2">
    <field x="0"/>
    <field x="2"/>
  </rowFields>
  <rowItems count="2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4"/>
    </i>
    <i r="1">
      <x v="75"/>
    </i>
    <i r="1">
      <x v="76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_quantity" fld="3" baseField="0" baseItem="0"/>
  </dataFields>
  <chartFormats count="12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76035-B395-4471-94A4-1F95991F967A}" name="PivotTable1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5:O83" firstHeaderRow="0" firstDataRow="1" firstDataCol="1" rowPageCount="1" colPageCount="1"/>
  <pivotFields count="4">
    <pivotField axis="axisRow" showAll="0">
      <items count="78">
        <item x="7"/>
        <item x="70"/>
        <item x="21"/>
        <item x="0"/>
        <item x="3"/>
        <item x="8"/>
        <item x="33"/>
        <item x="23"/>
        <item x="36"/>
        <item x="43"/>
        <item x="58"/>
        <item x="76"/>
        <item x="55"/>
        <item x="69"/>
        <item x="19"/>
        <item x="75"/>
        <item x="74"/>
        <item x="5"/>
        <item x="27"/>
        <item x="52"/>
        <item x="71"/>
        <item x="62"/>
        <item x="12"/>
        <item x="39"/>
        <item x="17"/>
        <item x="53"/>
        <item x="16"/>
        <item x="31"/>
        <item x="11"/>
        <item x="47"/>
        <item x="59"/>
        <item x="25"/>
        <item x="73"/>
        <item x="72"/>
        <item x="30"/>
        <item x="67"/>
        <item x="6"/>
        <item x="46"/>
        <item x="42"/>
        <item x="48"/>
        <item x="10"/>
        <item x="29"/>
        <item x="35"/>
        <item x="66"/>
        <item x="40"/>
        <item x="38"/>
        <item x="20"/>
        <item x="22"/>
        <item x="18"/>
        <item x="34"/>
        <item x="37"/>
        <item x="63"/>
        <item x="65"/>
        <item x="9"/>
        <item x="2"/>
        <item x="51"/>
        <item x="49"/>
        <item x="54"/>
        <item x="28"/>
        <item x="44"/>
        <item x="45"/>
        <item x="13"/>
        <item x="41"/>
        <item x="26"/>
        <item x="57"/>
        <item x="32"/>
        <item x="4"/>
        <item x="56"/>
        <item x="1"/>
        <item x="50"/>
        <item x="60"/>
        <item x="61"/>
        <item x="15"/>
        <item x="68"/>
        <item x="24"/>
        <item x="14"/>
        <item x="64"/>
        <item t="default"/>
      </items>
    </pivotField>
    <pivotField dataField="1" showAll="0"/>
    <pivotField dataField="1" showAll="0">
      <items count="2">
        <item x="0"/>
        <item t="default"/>
      </items>
    </pivotField>
    <pivotField axis="axisPage" showAll="0">
      <items count="4">
        <item x="0"/>
        <item x="2"/>
        <item x="1"/>
        <item t="default"/>
      </items>
    </pivotField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revenue" fld="1" baseField="0" baseItem="0"/>
    <dataField name="Sum of avg_revenue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A12B7-0204-45DD-9D00-705887DA8962}" name="PivotTable14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1:O18" firstHeaderRow="0" firstDataRow="1" firstDataCol="1"/>
  <pivotFields count="3">
    <pivotField axis="axisRow" showAll="0">
      <items count="17">
        <item x="2"/>
        <item x="15"/>
        <item x="6"/>
        <item x="14"/>
        <item x="12"/>
        <item x="0"/>
        <item x="1"/>
        <item x="5"/>
        <item x="3"/>
        <item x="13"/>
        <item x="10"/>
        <item x="7"/>
        <item x="4"/>
        <item x="11"/>
        <item x="8"/>
        <item x="9"/>
        <item t="default"/>
      </items>
    </pivotField>
    <pivotField dataField="1"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uppliers" fld="1" baseField="0" baseItem="0"/>
    <dataField name="Sum of avg_price" fld="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5D71E-7913-482A-91E7-6714AA114AD8}" name="PivotTable15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1:N10" firstHeaderRow="1" firstDataRow="1" firstDataCol="1"/>
  <pivotFields count="2">
    <pivotField axis="axisRow" showAll="0">
      <items count="9">
        <item x="0"/>
        <item x="1"/>
        <item x="3"/>
        <item x="7"/>
        <item x="4"/>
        <item x="5"/>
        <item x="6"/>
        <item x="2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suppliers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308F4-2C22-4FE5-B6E7-1B69802CB818}" name="PivotTable16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M4:N66" firstHeaderRow="1" firstDataRow="1" firstDataCol="1"/>
  <pivotFields count="3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9">
        <item x="5"/>
        <item x="2"/>
        <item x="4"/>
        <item x="7"/>
        <item x="6"/>
        <item x="3"/>
        <item x="1"/>
        <item x="0"/>
        <item t="default"/>
      </items>
    </pivotField>
    <pivotField dataField="1" showAll="0"/>
  </pivotFields>
  <rowFields count="2">
    <field x="0"/>
    <field x="1"/>
  </rowFields>
  <rowItems count="62">
    <i>
      <x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>
      <x v="1"/>
    </i>
    <i r="1">
      <x/>
    </i>
    <i>
      <x v="2"/>
    </i>
    <i r="1">
      <x v="1"/>
    </i>
    <i r="1">
      <x v="2"/>
    </i>
    <i r="1">
      <x v="5"/>
    </i>
    <i>
      <x v="3"/>
    </i>
    <i r="1">
      <x v="7"/>
    </i>
    <i>
      <x v="4"/>
    </i>
    <i r="1">
      <x/>
    </i>
    <i r="1">
      <x v="2"/>
    </i>
    <i>
      <x v="5"/>
    </i>
    <i r="1">
      <x/>
    </i>
    <i r="1">
      <x v="3"/>
    </i>
    <i r="1">
      <x v="7"/>
    </i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>
      <x v="7"/>
    </i>
    <i r="1">
      <x v="3"/>
    </i>
    <i r="1">
      <x v="4"/>
    </i>
    <i>
      <x v="8"/>
    </i>
    <i r="1">
      <x v="1"/>
    </i>
    <i r="1">
      <x v="5"/>
    </i>
    <i r="1">
      <x v="6"/>
    </i>
    <i r="1">
      <x v="7"/>
    </i>
    <i>
      <x v="9"/>
    </i>
    <i r="1">
      <x v="2"/>
    </i>
    <i>
      <x v="10"/>
    </i>
    <i r="1">
      <x v="3"/>
    </i>
    <i>
      <x v="11"/>
    </i>
    <i r="1">
      <x/>
    </i>
    <i r="1">
      <x v="1"/>
    </i>
    <i r="1">
      <x v="4"/>
    </i>
    <i>
      <x v="12"/>
    </i>
    <i r="1">
      <x v="3"/>
    </i>
    <i>
      <x v="13"/>
    </i>
    <i r="1">
      <x v="4"/>
    </i>
    <i r="1">
      <x v="7"/>
    </i>
    <i>
      <x v="14"/>
    </i>
    <i r="1">
      <x/>
    </i>
    <i r="1">
      <x v="1"/>
    </i>
    <i r="1">
      <x v="2"/>
    </i>
    <i>
      <x v="15"/>
    </i>
    <i r="1">
      <x/>
    </i>
    <i r="1">
      <x v="1"/>
    </i>
    <i r="1">
      <x v="6"/>
    </i>
    <i r="1">
      <x v="7"/>
    </i>
    <i t="grand">
      <x/>
    </i>
  </rowItems>
  <colItems count="1">
    <i/>
  </colItems>
  <dataFields count="1">
    <dataField name="Sum of avg_price" fld="2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17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334A15-CE05-4876-9791-6FD5826D4B6F}" name="Table2" displayName="Table2" ref="D5:J74" totalsRowShown="0" dataDxfId="0">
  <autoFilter ref="D5:J74" xr:uid="{C5334A15-CE05-4876-9791-6FD5826D4B6F}"/>
  <tableColumns count="7">
    <tableColumn id="1" xr3:uid="{70F63ACF-50E6-45D9-A878-F2C2DB6F76DC}" name="Country" dataDxfId="7"/>
    <tableColumn id="2" xr3:uid="{A91B739F-33E7-43DA-AEE8-9E91DD339435}" name="City" dataDxfId="6"/>
    <tableColumn id="3" xr3:uid="{F8C9C745-1A1A-402D-BF28-DB3ADBED6289}" name="total_customers" dataDxfId="5"/>
    <tableColumn id="4" xr3:uid="{799EF595-42CE-473A-8A1F-767A1A62A72A}" name=" total_orders" dataDxfId="4"/>
    <tableColumn id="5" xr3:uid="{7E659363-5D35-4B97-9BAD-F8C78868A561}" name="total_revenue" dataDxfId="3"/>
    <tableColumn id="6" xr3:uid="{357229BF-DD92-474E-A71D-4B7371A7AF3C}" name="avg_order_value" dataDxfId="2"/>
    <tableColumn id="7" xr3:uid="{0C1D8A22-2F83-411A-9E16-BE786A5FBCCD}" name="avg_orders_per_custom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D760-7593-4AA0-A74E-4739472D923D}">
  <dimension ref="A1:F14"/>
  <sheetViews>
    <sheetView workbookViewId="0">
      <selection activeCell="D22" sqref="D22"/>
    </sheetView>
  </sheetViews>
  <sheetFormatPr defaultRowHeight="14.4" x14ac:dyDescent="0.3"/>
  <cols>
    <col min="1" max="1" width="11" bestFit="1" customWidth="1"/>
    <col min="2" max="2" width="8.5546875" bestFit="1" customWidth="1"/>
    <col min="3" max="3" width="8.77734375" bestFit="1" customWidth="1"/>
    <col min="4" max="5" width="14" bestFit="1" customWidth="1"/>
    <col min="6" max="6" width="17.44140625" bestFit="1" customWidth="1"/>
    <col min="16" max="16" width="13" bestFit="1" customWidth="1"/>
    <col min="17" max="17" width="20" bestFit="1" customWidth="1"/>
    <col min="18" max="18" width="21.21875" bestFit="1" customWidth="1"/>
  </cols>
  <sheetData>
    <row r="1" spans="1:6" x14ac:dyDescent="0.3">
      <c r="A1" s="4" t="e" vm="1">
        <v>#VALUE!</v>
      </c>
      <c r="B1" s="1"/>
      <c r="C1" s="1" t="s">
        <v>112</v>
      </c>
    </row>
    <row r="2" spans="1:6" ht="28.8" x14ac:dyDescent="0.3">
      <c r="A2" s="2" t="s">
        <v>111</v>
      </c>
      <c r="B2" s="2" t="s">
        <v>5</v>
      </c>
      <c r="C2" s="2" t="s">
        <v>6</v>
      </c>
      <c r="D2" s="3" t="s">
        <v>8</v>
      </c>
      <c r="E2" s="3" t="s">
        <v>9</v>
      </c>
      <c r="F2" s="3" t="s">
        <v>10</v>
      </c>
    </row>
    <row r="3" spans="1:6" x14ac:dyDescent="0.3">
      <c r="A3" s="1" t="s">
        <v>0</v>
      </c>
      <c r="B3" s="1">
        <v>92</v>
      </c>
      <c r="C3" s="1">
        <v>96365.18</v>
      </c>
      <c r="D3" t="str">
        <f>IF(B2&gt;5,"Repeat","Normal")</f>
        <v>Repeat</v>
      </c>
      <c r="E3" t="str">
        <f>IF(C2&gt;50000,"High Value","Low Value")</f>
        <v>High Value</v>
      </c>
      <c r="F3" t="str">
        <f>IF(AND(B2&gt;5,C2&gt;50000),"High Value Repeat","Others")</f>
        <v>High Value Repeat</v>
      </c>
    </row>
    <row r="4" spans="1:6" x14ac:dyDescent="0.3">
      <c r="A4" s="1" t="s">
        <v>1</v>
      </c>
      <c r="B4" s="1">
        <v>52</v>
      </c>
      <c r="C4" s="1">
        <v>55871.89</v>
      </c>
      <c r="D4" t="str">
        <f t="shared" ref="D4:D7" si="0">IF(B3&gt;5,"Repeat","Normal")</f>
        <v>Repeat</v>
      </c>
      <c r="E4" t="str">
        <f t="shared" ref="E4:E7" si="1">IF(C3&gt;50000,"High Value","Low Value")</f>
        <v>High Value</v>
      </c>
      <c r="F4" t="str">
        <f t="shared" ref="F4:F7" si="2">IF(AND(B3&gt;5,C3&gt;50000),"High Value Repeat","Others")</f>
        <v>High Value Repeat</v>
      </c>
    </row>
    <row r="5" spans="1:6" x14ac:dyDescent="0.3">
      <c r="A5" s="1" t="s">
        <v>2</v>
      </c>
      <c r="B5" s="1">
        <v>81</v>
      </c>
      <c r="C5" s="1">
        <v>110541.9</v>
      </c>
      <c r="D5" t="str">
        <f t="shared" si="0"/>
        <v>Repeat</v>
      </c>
      <c r="E5" t="str">
        <f t="shared" si="1"/>
        <v>High Value</v>
      </c>
      <c r="F5" t="str">
        <f t="shared" si="2"/>
        <v>High Value Repeat</v>
      </c>
    </row>
    <row r="6" spans="1:6" x14ac:dyDescent="0.3">
      <c r="A6" s="1" t="s">
        <v>3</v>
      </c>
      <c r="B6" s="1">
        <v>46</v>
      </c>
      <c r="C6" s="1">
        <v>50871.3</v>
      </c>
      <c r="D6" t="str">
        <f t="shared" si="0"/>
        <v>Repeat</v>
      </c>
      <c r="E6" t="str">
        <f t="shared" si="1"/>
        <v>High Value</v>
      </c>
      <c r="F6" t="str">
        <f t="shared" si="2"/>
        <v>High Value Repeat</v>
      </c>
    </row>
    <row r="7" spans="1:6" x14ac:dyDescent="0.3">
      <c r="A7" s="1" t="s">
        <v>4</v>
      </c>
      <c r="B7" s="1">
        <v>102</v>
      </c>
      <c r="C7" s="1">
        <v>92235.69</v>
      </c>
      <c r="D7" t="str">
        <f t="shared" si="0"/>
        <v>Repeat</v>
      </c>
      <c r="E7" t="str">
        <f t="shared" si="1"/>
        <v>High Value</v>
      </c>
      <c r="F7" t="str">
        <f t="shared" si="2"/>
        <v>High Value Repeat</v>
      </c>
    </row>
    <row r="8" spans="1:6" x14ac:dyDescent="0.3">
      <c r="B8">
        <f>AVERAGE(B3:B7)</f>
        <v>74.599999999999994</v>
      </c>
    </row>
    <row r="12" spans="1:6" x14ac:dyDescent="0.3">
      <c r="D12" s="5" t="s">
        <v>11</v>
      </c>
      <c r="E12" t="s">
        <v>14</v>
      </c>
      <c r="F12" t="s">
        <v>15</v>
      </c>
    </row>
    <row r="13" spans="1:6" x14ac:dyDescent="0.3">
      <c r="D13" s="6" t="s">
        <v>12</v>
      </c>
      <c r="E13" s="7">
        <v>5</v>
      </c>
      <c r="F13" s="7">
        <v>81177.191999999995</v>
      </c>
    </row>
    <row r="14" spans="1:6" x14ac:dyDescent="0.3">
      <c r="D14" s="6" t="s">
        <v>13</v>
      </c>
      <c r="E14" s="7">
        <v>5</v>
      </c>
      <c r="F14" s="7">
        <v>81177.191999999995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4979-040A-4CEC-8A06-FB566B495D5E}">
  <dimension ref="D3:Q74"/>
  <sheetViews>
    <sheetView zoomScaleNormal="100" workbookViewId="0">
      <selection activeCell="M1" sqref="M1:M1048576"/>
    </sheetView>
  </sheetViews>
  <sheetFormatPr defaultRowHeight="14.4" x14ac:dyDescent="0.3"/>
  <cols>
    <col min="4" max="4" width="10" customWidth="1"/>
    <col min="5" max="5" width="6.5546875" customWidth="1"/>
    <col min="6" max="6" width="17.109375" customWidth="1"/>
    <col min="7" max="7" width="13.88671875" customWidth="1"/>
    <col min="8" max="8" width="15" customWidth="1"/>
    <col min="9" max="9" width="17" customWidth="1"/>
    <col min="10" max="10" width="25.33203125" customWidth="1"/>
    <col min="15" max="15" width="13" bestFit="1" customWidth="1"/>
    <col min="16" max="16" width="19.88671875" bestFit="1" customWidth="1"/>
    <col min="17" max="17" width="18.77734375" bestFit="1" customWidth="1"/>
  </cols>
  <sheetData>
    <row r="3" spans="4:17" x14ac:dyDescent="0.3">
      <c r="E3" t="s">
        <v>112</v>
      </c>
    </row>
    <row r="5" spans="4:17" x14ac:dyDescent="0.3">
      <c r="D5" t="s">
        <v>16</v>
      </c>
      <c r="E5" t="s">
        <v>17</v>
      </c>
      <c r="F5" t="s">
        <v>18</v>
      </c>
      <c r="G5" t="s">
        <v>113</v>
      </c>
      <c r="H5" t="s">
        <v>19</v>
      </c>
      <c r="I5" t="s">
        <v>20</v>
      </c>
      <c r="J5" t="s">
        <v>21</v>
      </c>
    </row>
    <row r="6" spans="4:17" ht="57.6" x14ac:dyDescent="0.3">
      <c r="D6" s="1" t="s">
        <v>22</v>
      </c>
      <c r="E6" s="1" t="s">
        <v>23</v>
      </c>
      <c r="F6" s="1">
        <v>1</v>
      </c>
      <c r="G6" s="1">
        <v>81</v>
      </c>
      <c r="H6" s="1">
        <v>110541.9</v>
      </c>
      <c r="I6" s="1">
        <v>4094.14</v>
      </c>
      <c r="J6" s="1">
        <v>81</v>
      </c>
      <c r="O6" s="5" t="s">
        <v>11</v>
      </c>
      <c r="P6" t="s">
        <v>116</v>
      </c>
      <c r="Q6" t="s">
        <v>115</v>
      </c>
    </row>
    <row r="7" spans="4:17" ht="28.8" x14ac:dyDescent="0.3">
      <c r="D7" s="1" t="s">
        <v>24</v>
      </c>
      <c r="E7" s="1" t="s">
        <v>25</v>
      </c>
      <c r="F7" s="1">
        <v>1</v>
      </c>
      <c r="G7" s="1">
        <v>92</v>
      </c>
      <c r="H7" s="1">
        <v>96365.18</v>
      </c>
      <c r="I7" s="1">
        <v>3569.08</v>
      </c>
      <c r="J7" s="1">
        <v>92</v>
      </c>
      <c r="O7" s="6" t="s">
        <v>79</v>
      </c>
      <c r="P7" s="7">
        <v>7738.1</v>
      </c>
      <c r="Q7" s="7">
        <v>30</v>
      </c>
    </row>
    <row r="8" spans="4:17" ht="28.8" x14ac:dyDescent="0.3">
      <c r="D8" s="1" t="s">
        <v>26</v>
      </c>
      <c r="E8" s="1" t="s">
        <v>27</v>
      </c>
      <c r="F8" s="1">
        <v>1</v>
      </c>
      <c r="G8" s="1">
        <v>102</v>
      </c>
      <c r="H8" s="1">
        <v>92235.69</v>
      </c>
      <c r="I8" s="1">
        <v>3294.13</v>
      </c>
      <c r="J8" s="1">
        <v>102</v>
      </c>
      <c r="O8" s="6" t="s">
        <v>24</v>
      </c>
      <c r="P8" s="7">
        <v>118966.37999999999</v>
      </c>
      <c r="Q8" s="7">
        <v>112</v>
      </c>
    </row>
    <row r="9" spans="4:17" ht="28.8" x14ac:dyDescent="0.3">
      <c r="D9" s="1" t="s">
        <v>28</v>
      </c>
      <c r="E9" s="1" t="s">
        <v>29</v>
      </c>
      <c r="F9" s="1">
        <v>1</v>
      </c>
      <c r="G9" s="1">
        <v>52</v>
      </c>
      <c r="H9" s="1">
        <v>55871.89</v>
      </c>
      <c r="I9" s="1">
        <v>3103.99</v>
      </c>
      <c r="J9" s="1">
        <v>52</v>
      </c>
      <c r="O9" s="6" t="s">
        <v>48</v>
      </c>
      <c r="P9" s="7">
        <v>32629.480000000003</v>
      </c>
      <c r="Q9" s="7">
        <v>49</v>
      </c>
    </row>
    <row r="10" spans="4:17" ht="57.6" x14ac:dyDescent="0.3">
      <c r="D10" s="1" t="s">
        <v>26</v>
      </c>
      <c r="E10" s="1" t="s">
        <v>30</v>
      </c>
      <c r="F10" s="1">
        <v>1</v>
      </c>
      <c r="G10" s="1">
        <v>46</v>
      </c>
      <c r="H10" s="1">
        <v>50871.3</v>
      </c>
      <c r="I10" s="1">
        <v>2992.43</v>
      </c>
      <c r="J10" s="1">
        <v>46</v>
      </c>
      <c r="O10" s="6" t="s">
        <v>31</v>
      </c>
      <c r="P10" s="7">
        <v>106930.93</v>
      </c>
      <c r="Q10" s="7">
        <v>189</v>
      </c>
    </row>
    <row r="11" spans="4:17" ht="57.6" x14ac:dyDescent="0.3">
      <c r="D11" s="1" t="s">
        <v>36</v>
      </c>
      <c r="E11" s="1" t="s">
        <v>37</v>
      </c>
      <c r="F11" s="1">
        <v>1</v>
      </c>
      <c r="G11" s="1">
        <v>32</v>
      </c>
      <c r="H11" s="1">
        <v>32203.9</v>
      </c>
      <c r="I11" s="1">
        <v>2477.2199999999998</v>
      </c>
      <c r="J11" s="1">
        <v>32</v>
      </c>
      <c r="O11" s="6" t="s">
        <v>36</v>
      </c>
      <c r="P11" s="7">
        <v>52329.3</v>
      </c>
      <c r="Q11" s="7">
        <v>70</v>
      </c>
    </row>
    <row r="12" spans="4:17" ht="43.2" x14ac:dyDescent="0.3">
      <c r="D12" s="1" t="s">
        <v>38</v>
      </c>
      <c r="E12" s="1" t="s">
        <v>39</v>
      </c>
      <c r="F12" s="1">
        <v>1</v>
      </c>
      <c r="G12" s="1">
        <v>44</v>
      </c>
      <c r="H12" s="1">
        <v>31655.55</v>
      </c>
      <c r="I12" s="1">
        <v>1758.64</v>
      </c>
      <c r="J12" s="1">
        <v>44</v>
      </c>
      <c r="O12" s="6" t="s">
        <v>56</v>
      </c>
      <c r="P12" s="7">
        <v>34537.949999999997</v>
      </c>
      <c r="Q12" s="7">
        <v>45</v>
      </c>
    </row>
    <row r="13" spans="4:17" ht="57.6" x14ac:dyDescent="0.3">
      <c r="D13" s="1" t="s">
        <v>22</v>
      </c>
      <c r="E13" s="1" t="s">
        <v>40</v>
      </c>
      <c r="F13" s="1">
        <v>1</v>
      </c>
      <c r="G13" s="1">
        <v>37</v>
      </c>
      <c r="H13" s="1">
        <v>29585.75</v>
      </c>
      <c r="I13" s="1">
        <v>2275.83</v>
      </c>
      <c r="J13" s="1">
        <v>37</v>
      </c>
      <c r="O13" s="6" t="s">
        <v>60</v>
      </c>
      <c r="P13" s="7">
        <v>19478.45</v>
      </c>
      <c r="Q13" s="7">
        <v>52</v>
      </c>
    </row>
    <row r="14" spans="4:17" ht="43.2" x14ac:dyDescent="0.3">
      <c r="D14" s="1" t="s">
        <v>38</v>
      </c>
      <c r="E14" s="1" t="s">
        <v>41</v>
      </c>
      <c r="F14" s="1">
        <v>1</v>
      </c>
      <c r="G14" s="1">
        <v>52</v>
      </c>
      <c r="H14" s="1">
        <v>26968.15</v>
      </c>
      <c r="I14" s="1">
        <v>1498.23</v>
      </c>
      <c r="J14" s="1">
        <v>52</v>
      </c>
      <c r="O14" s="6" t="s">
        <v>45</v>
      </c>
      <c r="P14" s="7">
        <v>84186.760000000009</v>
      </c>
      <c r="Q14" s="7">
        <v>179</v>
      </c>
    </row>
    <row r="15" spans="4:17" ht="57.6" x14ac:dyDescent="0.3">
      <c r="D15" s="1" t="s">
        <v>22</v>
      </c>
      <c r="E15" s="1" t="s">
        <v>42</v>
      </c>
      <c r="F15" s="1">
        <v>1</v>
      </c>
      <c r="G15" s="1">
        <v>45</v>
      </c>
      <c r="H15" s="1">
        <v>25748.71</v>
      </c>
      <c r="I15" s="1">
        <v>1839.19</v>
      </c>
      <c r="J15" s="1">
        <v>45</v>
      </c>
      <c r="O15" s="6" t="s">
        <v>22</v>
      </c>
      <c r="P15" s="7">
        <v>224786.78999999998</v>
      </c>
      <c r="Q15" s="7">
        <v>302</v>
      </c>
    </row>
    <row r="16" spans="4:17" ht="43.2" x14ac:dyDescent="0.3">
      <c r="D16" s="1" t="s">
        <v>45</v>
      </c>
      <c r="E16" s="1" t="s">
        <v>46</v>
      </c>
      <c r="F16" s="1">
        <v>1</v>
      </c>
      <c r="G16" s="1">
        <v>41</v>
      </c>
      <c r="H16" s="1">
        <v>22793.95</v>
      </c>
      <c r="I16" s="1">
        <v>1424.62</v>
      </c>
      <c r="J16" s="1">
        <v>41</v>
      </c>
      <c r="O16" s="6" t="s">
        <v>28</v>
      </c>
      <c r="P16" s="7">
        <v>55871.89</v>
      </c>
      <c r="Q16" s="7">
        <v>52</v>
      </c>
    </row>
    <row r="17" spans="4:17" ht="43.2" x14ac:dyDescent="0.3">
      <c r="D17" s="1" t="s">
        <v>24</v>
      </c>
      <c r="E17" s="1" t="s">
        <v>47</v>
      </c>
      <c r="F17" s="1">
        <v>1</v>
      </c>
      <c r="G17" s="1">
        <v>20</v>
      </c>
      <c r="H17" s="1">
        <v>22601.200000000001</v>
      </c>
      <c r="I17" s="1">
        <v>2511.2399999999998</v>
      </c>
      <c r="J17" s="1">
        <v>20</v>
      </c>
      <c r="O17" s="6" t="s">
        <v>81</v>
      </c>
      <c r="P17" s="7">
        <v>14256.150000000001</v>
      </c>
      <c r="Q17" s="7">
        <v>45</v>
      </c>
    </row>
    <row r="18" spans="4:17" ht="57.6" x14ac:dyDescent="0.3">
      <c r="D18" s="1" t="s">
        <v>48</v>
      </c>
      <c r="E18" s="1" t="s">
        <v>49</v>
      </c>
      <c r="F18" s="1">
        <v>1</v>
      </c>
      <c r="G18" s="1">
        <v>32</v>
      </c>
      <c r="H18" s="1">
        <v>22198.9</v>
      </c>
      <c r="I18" s="1">
        <v>2219.89</v>
      </c>
      <c r="J18" s="1">
        <v>32</v>
      </c>
      <c r="O18" s="6" t="s">
        <v>43</v>
      </c>
      <c r="P18" s="7">
        <v>23413.45</v>
      </c>
      <c r="Q18" s="7">
        <v>69</v>
      </c>
    </row>
    <row r="19" spans="4:17" ht="72" x14ac:dyDescent="0.3">
      <c r="D19" s="1" t="s">
        <v>50</v>
      </c>
      <c r="E19" s="1" t="s">
        <v>51</v>
      </c>
      <c r="F19" s="1">
        <v>1</v>
      </c>
      <c r="G19" s="1">
        <v>41</v>
      </c>
      <c r="H19" s="1">
        <v>21884.080000000002</v>
      </c>
      <c r="I19" s="1">
        <v>1287.3</v>
      </c>
      <c r="J19" s="1">
        <v>41</v>
      </c>
      <c r="O19" s="6" t="s">
        <v>88</v>
      </c>
      <c r="P19" s="7">
        <v>5112.8</v>
      </c>
      <c r="Q19" s="7">
        <v>14</v>
      </c>
    </row>
    <row r="20" spans="4:17" ht="57.6" x14ac:dyDescent="0.3">
      <c r="D20" s="1" t="s">
        <v>36</v>
      </c>
      <c r="E20" s="1" t="s">
        <v>52</v>
      </c>
      <c r="F20" s="1">
        <v>1</v>
      </c>
      <c r="G20" s="1">
        <v>30</v>
      </c>
      <c r="H20" s="1">
        <v>19602.900000000001</v>
      </c>
      <c r="I20" s="1">
        <v>1782.08</v>
      </c>
      <c r="J20" s="1">
        <v>30</v>
      </c>
      <c r="O20" s="6" t="s">
        <v>97</v>
      </c>
      <c r="P20" s="7">
        <v>2940.35</v>
      </c>
      <c r="Q20" s="7">
        <v>15</v>
      </c>
    </row>
    <row r="21" spans="4:17" ht="72" x14ac:dyDescent="0.3">
      <c r="D21" s="1" t="s">
        <v>22</v>
      </c>
      <c r="E21" s="1" t="s">
        <v>114</v>
      </c>
      <c r="F21" s="1">
        <v>1</v>
      </c>
      <c r="G21" s="1">
        <v>35</v>
      </c>
      <c r="H21" s="1">
        <v>19408.52</v>
      </c>
      <c r="I21" s="1">
        <v>1386.32</v>
      </c>
      <c r="J21" s="1">
        <v>35</v>
      </c>
      <c r="O21" s="6" t="s">
        <v>67</v>
      </c>
      <c r="P21" s="7">
        <v>12468.65</v>
      </c>
      <c r="Q21" s="7">
        <v>30</v>
      </c>
    </row>
    <row r="22" spans="4:17" ht="28.8" x14ac:dyDescent="0.3">
      <c r="D22" s="1" t="s">
        <v>26</v>
      </c>
      <c r="E22" s="1" t="s">
        <v>53</v>
      </c>
      <c r="F22" s="1">
        <v>1</v>
      </c>
      <c r="G22" s="1">
        <v>34</v>
      </c>
      <c r="H22" s="1">
        <v>19242.2</v>
      </c>
      <c r="I22" s="1">
        <v>1603.52</v>
      </c>
      <c r="J22" s="1">
        <v>34</v>
      </c>
      <c r="O22" s="6" t="s">
        <v>71</v>
      </c>
      <c r="P22" s="7">
        <v>18308.89</v>
      </c>
      <c r="Q22" s="7">
        <v>46</v>
      </c>
    </row>
    <row r="23" spans="4:17" ht="57.6" x14ac:dyDescent="0.3">
      <c r="D23" s="1" t="s">
        <v>45</v>
      </c>
      <c r="E23" s="1" t="s">
        <v>54</v>
      </c>
      <c r="F23" s="1">
        <v>1</v>
      </c>
      <c r="G23" s="1">
        <v>26</v>
      </c>
      <c r="H23" s="1">
        <v>19088</v>
      </c>
      <c r="I23" s="1">
        <v>1735.27</v>
      </c>
      <c r="J23" s="1">
        <v>26</v>
      </c>
      <c r="O23" s="6" t="s">
        <v>38</v>
      </c>
      <c r="P23" s="7">
        <v>58623.7</v>
      </c>
      <c r="Q23" s="7">
        <v>96</v>
      </c>
    </row>
    <row r="24" spans="4:17" ht="28.8" x14ac:dyDescent="0.3">
      <c r="D24" s="1" t="s">
        <v>26</v>
      </c>
      <c r="E24" s="1" t="s">
        <v>55</v>
      </c>
      <c r="F24" s="1">
        <v>1</v>
      </c>
      <c r="G24" s="1">
        <v>20</v>
      </c>
      <c r="H24" s="1">
        <v>19001.13</v>
      </c>
      <c r="I24" s="1">
        <v>2111.2399999999998</v>
      </c>
      <c r="J24" s="1">
        <v>20</v>
      </c>
      <c r="O24" s="6" t="s">
        <v>62</v>
      </c>
      <c r="P24" s="7">
        <v>25567.7</v>
      </c>
      <c r="Q24" s="7">
        <v>43</v>
      </c>
    </row>
    <row r="25" spans="4:17" ht="57.6" x14ac:dyDescent="0.3">
      <c r="D25" s="1" t="s">
        <v>56</v>
      </c>
      <c r="E25" s="1" t="s">
        <v>57</v>
      </c>
      <c r="F25" s="1">
        <v>1</v>
      </c>
      <c r="G25" s="1">
        <v>14</v>
      </c>
      <c r="H25" s="1">
        <v>17894.150000000001</v>
      </c>
      <c r="I25" s="1">
        <v>2982.36</v>
      </c>
      <c r="J25" s="1">
        <v>14</v>
      </c>
      <c r="O25" s="6" t="s">
        <v>33</v>
      </c>
      <c r="P25" s="7">
        <v>51782.700000000004</v>
      </c>
      <c r="Q25" s="7">
        <v>121</v>
      </c>
    </row>
    <row r="26" spans="4:17" ht="57.6" x14ac:dyDescent="0.3">
      <c r="D26" s="1" t="s">
        <v>50</v>
      </c>
      <c r="E26" s="1" t="s">
        <v>58</v>
      </c>
      <c r="F26" s="1">
        <v>1</v>
      </c>
      <c r="G26" s="1">
        <v>30</v>
      </c>
      <c r="H26" s="1">
        <v>17062.5</v>
      </c>
      <c r="I26" s="1">
        <v>1421.88</v>
      </c>
      <c r="J26" s="1">
        <v>30</v>
      </c>
      <c r="O26" s="6" t="s">
        <v>26</v>
      </c>
      <c r="P26" s="7">
        <v>226084.03000000003</v>
      </c>
      <c r="Q26" s="7">
        <v>299</v>
      </c>
    </row>
    <row r="27" spans="4:17" ht="43.2" x14ac:dyDescent="0.3">
      <c r="D27" s="1" t="s">
        <v>56</v>
      </c>
      <c r="E27" s="1" t="s">
        <v>59</v>
      </c>
      <c r="F27" s="1">
        <v>1</v>
      </c>
      <c r="G27" s="1">
        <v>31</v>
      </c>
      <c r="H27" s="1">
        <v>16643.8</v>
      </c>
      <c r="I27" s="1">
        <v>1513.07</v>
      </c>
      <c r="J27" s="1">
        <v>31</v>
      </c>
      <c r="O27" s="6" t="s">
        <v>50</v>
      </c>
      <c r="P27" s="7">
        <v>54964.63</v>
      </c>
      <c r="Q27" s="7">
        <v>105</v>
      </c>
    </row>
    <row r="28" spans="4:17" ht="28.8" x14ac:dyDescent="0.3">
      <c r="D28" s="1" t="s">
        <v>60</v>
      </c>
      <c r="E28" s="1" t="s">
        <v>61</v>
      </c>
      <c r="F28" s="1">
        <v>1</v>
      </c>
      <c r="G28" s="1">
        <v>35</v>
      </c>
      <c r="H28" s="1">
        <v>16317.1</v>
      </c>
      <c r="I28" s="1">
        <v>1165.51</v>
      </c>
      <c r="J28" s="1">
        <v>35</v>
      </c>
      <c r="O28" s="6" t="s">
        <v>13</v>
      </c>
      <c r="P28" s="7">
        <v>1230979.0799999998</v>
      </c>
      <c r="Q28" s="7">
        <v>1963</v>
      </c>
    </row>
    <row r="29" spans="4:17" ht="43.2" x14ac:dyDescent="0.3">
      <c r="D29" s="1" t="s">
        <v>62</v>
      </c>
      <c r="E29" s="1" t="s">
        <v>63</v>
      </c>
      <c r="F29" s="1">
        <v>1</v>
      </c>
      <c r="G29" s="1">
        <v>25</v>
      </c>
      <c r="H29" s="1">
        <v>15855.2</v>
      </c>
      <c r="I29" s="1">
        <v>1981.9</v>
      </c>
      <c r="J29" s="1">
        <v>25</v>
      </c>
    </row>
    <row r="30" spans="4:17" ht="57.6" x14ac:dyDescent="0.3">
      <c r="D30" s="1" t="s">
        <v>26</v>
      </c>
      <c r="E30" s="1" t="s">
        <v>64</v>
      </c>
      <c r="F30" s="1">
        <v>1</v>
      </c>
      <c r="G30" s="1">
        <v>21</v>
      </c>
      <c r="H30" s="1">
        <v>15770.75</v>
      </c>
      <c r="I30" s="1">
        <v>1752.31</v>
      </c>
      <c r="J30" s="1">
        <v>21</v>
      </c>
    </row>
    <row r="31" spans="4:17" ht="72" x14ac:dyDescent="0.3">
      <c r="D31" s="1" t="s">
        <v>50</v>
      </c>
      <c r="E31" s="1" t="s">
        <v>65</v>
      </c>
      <c r="F31" s="1">
        <v>1</v>
      </c>
      <c r="G31" s="1">
        <v>30</v>
      </c>
      <c r="H31" s="1">
        <v>14529.35</v>
      </c>
      <c r="I31" s="1">
        <v>1452.94</v>
      </c>
      <c r="J31" s="1">
        <v>30</v>
      </c>
    </row>
    <row r="32" spans="4:17" ht="28.8" x14ac:dyDescent="0.3">
      <c r="D32" s="1" t="s">
        <v>26</v>
      </c>
      <c r="E32" s="1" t="s">
        <v>66</v>
      </c>
      <c r="F32" s="1">
        <v>1</v>
      </c>
      <c r="G32" s="1">
        <v>20</v>
      </c>
      <c r="H32" s="1">
        <v>12489.7</v>
      </c>
      <c r="I32" s="1">
        <v>1387.74</v>
      </c>
      <c r="J32" s="1">
        <v>20</v>
      </c>
    </row>
    <row r="33" spans="4:10" ht="28.8" x14ac:dyDescent="0.3">
      <c r="D33" s="1" t="s">
        <v>22</v>
      </c>
      <c r="E33" s="1" t="s">
        <v>69</v>
      </c>
      <c r="F33" s="1">
        <v>1</v>
      </c>
      <c r="G33" s="1">
        <v>28</v>
      </c>
      <c r="H33" s="1">
        <v>12413.5</v>
      </c>
      <c r="I33" s="1">
        <v>1379.28</v>
      </c>
      <c r="J33" s="1">
        <v>28</v>
      </c>
    </row>
    <row r="34" spans="4:10" ht="28.8" x14ac:dyDescent="0.3">
      <c r="D34" s="1" t="s">
        <v>45</v>
      </c>
      <c r="E34" s="1" t="s">
        <v>70</v>
      </c>
      <c r="F34" s="1">
        <v>1</v>
      </c>
      <c r="G34" s="1">
        <v>16</v>
      </c>
      <c r="H34" s="1">
        <v>11666.9</v>
      </c>
      <c r="I34" s="1">
        <v>2333.38</v>
      </c>
      <c r="J34" s="1">
        <v>16</v>
      </c>
    </row>
    <row r="35" spans="4:10" ht="28.8" x14ac:dyDescent="0.3">
      <c r="D35" s="1" t="s">
        <v>71</v>
      </c>
      <c r="E35" s="1" t="s">
        <v>72</v>
      </c>
      <c r="F35" s="1">
        <v>1</v>
      </c>
      <c r="G35" s="1">
        <v>22</v>
      </c>
      <c r="H35" s="1">
        <v>11068.1</v>
      </c>
      <c r="I35" s="1">
        <v>1383.51</v>
      </c>
      <c r="J35" s="1">
        <v>22</v>
      </c>
    </row>
    <row r="36" spans="4:10" ht="43.2" x14ac:dyDescent="0.3">
      <c r="D36" s="1" t="s">
        <v>48</v>
      </c>
      <c r="E36" s="1" t="s">
        <v>73</v>
      </c>
      <c r="F36" s="1">
        <v>1</v>
      </c>
      <c r="G36" s="1">
        <v>17</v>
      </c>
      <c r="H36" s="1">
        <v>10430.58</v>
      </c>
      <c r="I36" s="1">
        <v>1490.08</v>
      </c>
      <c r="J36" s="1">
        <v>17</v>
      </c>
    </row>
    <row r="37" spans="4:10" ht="43.2" x14ac:dyDescent="0.3">
      <c r="D37" s="1" t="s">
        <v>45</v>
      </c>
      <c r="E37" s="1" t="s">
        <v>74</v>
      </c>
      <c r="F37" s="1">
        <v>1</v>
      </c>
      <c r="G37" s="1">
        <v>30</v>
      </c>
      <c r="H37" s="1">
        <v>10227.35</v>
      </c>
      <c r="I37" s="1">
        <v>786.72</v>
      </c>
      <c r="J37" s="1">
        <v>30</v>
      </c>
    </row>
    <row r="38" spans="4:10" ht="28.8" x14ac:dyDescent="0.3">
      <c r="D38" s="1" t="s">
        <v>45</v>
      </c>
      <c r="E38" s="1" t="s">
        <v>75</v>
      </c>
      <c r="F38" s="1">
        <v>1</v>
      </c>
      <c r="G38" s="1">
        <v>25</v>
      </c>
      <c r="H38" s="1">
        <v>9937.1</v>
      </c>
      <c r="I38" s="1">
        <v>993.71</v>
      </c>
      <c r="J38" s="1">
        <v>25</v>
      </c>
    </row>
    <row r="39" spans="4:10" ht="28.8" x14ac:dyDescent="0.3">
      <c r="D39" s="1" t="s">
        <v>62</v>
      </c>
      <c r="E39" s="1" t="s">
        <v>76</v>
      </c>
      <c r="F39" s="1">
        <v>1</v>
      </c>
      <c r="G39" s="1">
        <v>18</v>
      </c>
      <c r="H39" s="1">
        <v>9712.5</v>
      </c>
      <c r="I39" s="1">
        <v>1618.75</v>
      </c>
      <c r="J39" s="1">
        <v>18</v>
      </c>
    </row>
    <row r="40" spans="4:10" ht="43.2" x14ac:dyDescent="0.3">
      <c r="D40" s="1" t="s">
        <v>22</v>
      </c>
      <c r="E40" s="1" t="s">
        <v>77</v>
      </c>
      <c r="F40" s="1">
        <v>1</v>
      </c>
      <c r="G40" s="1">
        <v>23</v>
      </c>
      <c r="H40" s="1">
        <v>9089.85</v>
      </c>
      <c r="I40" s="1">
        <v>1009.98</v>
      </c>
      <c r="J40" s="1">
        <v>23</v>
      </c>
    </row>
    <row r="41" spans="4:10" ht="43.2" x14ac:dyDescent="0.3">
      <c r="D41" s="1" t="s">
        <v>31</v>
      </c>
      <c r="E41" s="1" t="s">
        <v>78</v>
      </c>
      <c r="F41" s="1">
        <v>1</v>
      </c>
      <c r="G41" s="1">
        <v>17</v>
      </c>
      <c r="H41" s="1">
        <v>8360.23</v>
      </c>
      <c r="I41" s="1">
        <v>1045.03</v>
      </c>
      <c r="J41" s="1">
        <v>17</v>
      </c>
    </row>
    <row r="42" spans="4:10" ht="43.2" x14ac:dyDescent="0.3">
      <c r="D42" s="1" t="s">
        <v>81</v>
      </c>
      <c r="E42" s="1" t="s">
        <v>82</v>
      </c>
      <c r="F42" s="1">
        <v>1</v>
      </c>
      <c r="G42" s="1">
        <v>21</v>
      </c>
      <c r="H42" s="1">
        <v>7603.85</v>
      </c>
      <c r="I42" s="1">
        <v>760.38</v>
      </c>
      <c r="J42" s="1">
        <v>21</v>
      </c>
    </row>
    <row r="43" spans="4:10" ht="43.2" x14ac:dyDescent="0.3">
      <c r="D43" s="1" t="s">
        <v>31</v>
      </c>
      <c r="E43" s="1" t="s">
        <v>83</v>
      </c>
      <c r="F43" s="1">
        <v>1</v>
      </c>
      <c r="G43" s="1">
        <v>19</v>
      </c>
      <c r="H43" s="1">
        <v>6480.7</v>
      </c>
      <c r="I43" s="1">
        <v>720.08</v>
      </c>
      <c r="J43" s="1">
        <v>19</v>
      </c>
    </row>
    <row r="44" spans="4:10" ht="57.6" x14ac:dyDescent="0.3">
      <c r="D44" s="1" t="s">
        <v>81</v>
      </c>
      <c r="E44" s="1" t="s">
        <v>85</v>
      </c>
      <c r="F44" s="1">
        <v>1</v>
      </c>
      <c r="G44" s="1">
        <v>18</v>
      </c>
      <c r="H44" s="1">
        <v>6402.6</v>
      </c>
      <c r="I44" s="1">
        <v>640.26</v>
      </c>
      <c r="J44" s="1">
        <v>18</v>
      </c>
    </row>
    <row r="45" spans="4:10" ht="43.2" x14ac:dyDescent="0.3">
      <c r="D45" s="1" t="s">
        <v>33</v>
      </c>
      <c r="E45" s="1" t="s">
        <v>86</v>
      </c>
      <c r="F45" s="1">
        <v>1</v>
      </c>
      <c r="G45" s="1">
        <v>23</v>
      </c>
      <c r="H45" s="1">
        <v>6146.3</v>
      </c>
      <c r="I45" s="1">
        <v>614.63</v>
      </c>
      <c r="J45" s="1">
        <v>23</v>
      </c>
    </row>
    <row r="46" spans="4:10" ht="43.2" x14ac:dyDescent="0.3">
      <c r="D46" s="1" t="s">
        <v>88</v>
      </c>
      <c r="E46" s="1" t="s">
        <v>89</v>
      </c>
      <c r="F46" s="1">
        <v>1</v>
      </c>
      <c r="G46" s="1">
        <v>14</v>
      </c>
      <c r="H46" s="1">
        <v>5112.8</v>
      </c>
      <c r="I46" s="1">
        <v>1022.56</v>
      </c>
      <c r="J46" s="1">
        <v>14</v>
      </c>
    </row>
    <row r="47" spans="4:10" ht="43.2" x14ac:dyDescent="0.3">
      <c r="D47" s="1" t="s">
        <v>22</v>
      </c>
      <c r="E47" s="1" t="s">
        <v>90</v>
      </c>
      <c r="F47" s="1">
        <v>1</v>
      </c>
      <c r="G47" s="1">
        <v>11</v>
      </c>
      <c r="H47" s="1">
        <v>5042.2</v>
      </c>
      <c r="I47" s="1">
        <v>1008.44</v>
      </c>
      <c r="J47" s="1">
        <v>11</v>
      </c>
    </row>
    <row r="48" spans="4:10" ht="57.6" x14ac:dyDescent="0.3">
      <c r="D48" s="1" t="s">
        <v>22</v>
      </c>
      <c r="E48" s="1" t="s">
        <v>91</v>
      </c>
      <c r="F48" s="1">
        <v>1</v>
      </c>
      <c r="G48" s="1">
        <v>14</v>
      </c>
      <c r="H48" s="1">
        <v>4954</v>
      </c>
      <c r="I48" s="1">
        <v>825.67</v>
      </c>
      <c r="J48" s="1">
        <v>14</v>
      </c>
    </row>
    <row r="49" spans="4:10" ht="28.8" x14ac:dyDescent="0.3">
      <c r="D49" s="1" t="s">
        <v>22</v>
      </c>
      <c r="E49" s="1" t="s">
        <v>93</v>
      </c>
      <c r="F49" s="1">
        <v>1</v>
      </c>
      <c r="G49" s="1">
        <v>10</v>
      </c>
      <c r="H49" s="1">
        <v>3636.2</v>
      </c>
      <c r="I49" s="1">
        <v>727.24</v>
      </c>
      <c r="J49" s="1">
        <v>10</v>
      </c>
    </row>
    <row r="50" spans="4:10" ht="57.6" x14ac:dyDescent="0.3">
      <c r="D50" s="1" t="s">
        <v>26</v>
      </c>
      <c r="E50" s="1" t="s">
        <v>94</v>
      </c>
      <c r="F50" s="1">
        <v>1</v>
      </c>
      <c r="G50" s="1">
        <v>10</v>
      </c>
      <c r="H50" s="1">
        <v>3490.02</v>
      </c>
      <c r="I50" s="1">
        <v>872.5</v>
      </c>
      <c r="J50" s="1">
        <v>10</v>
      </c>
    </row>
    <row r="51" spans="4:10" ht="43.2" x14ac:dyDescent="0.3">
      <c r="D51" s="1" t="s">
        <v>60</v>
      </c>
      <c r="E51" s="1" t="s">
        <v>95</v>
      </c>
      <c r="F51" s="1">
        <v>1</v>
      </c>
      <c r="G51" s="1">
        <v>17</v>
      </c>
      <c r="H51" s="1">
        <v>3161.35</v>
      </c>
      <c r="I51" s="1">
        <v>451.62</v>
      </c>
      <c r="J51" s="1">
        <v>17</v>
      </c>
    </row>
    <row r="52" spans="4:10" ht="28.8" x14ac:dyDescent="0.3">
      <c r="D52" s="1" t="s">
        <v>26</v>
      </c>
      <c r="E52" s="1" t="s">
        <v>96</v>
      </c>
      <c r="F52" s="1">
        <v>1</v>
      </c>
      <c r="G52" s="1">
        <v>9</v>
      </c>
      <c r="H52" s="1">
        <v>3063.2</v>
      </c>
      <c r="I52" s="1">
        <v>612.64</v>
      </c>
      <c r="J52" s="1">
        <v>9</v>
      </c>
    </row>
    <row r="53" spans="4:10" ht="57.6" x14ac:dyDescent="0.3">
      <c r="D53" s="1" t="s">
        <v>97</v>
      </c>
      <c r="E53" s="1" t="s">
        <v>98</v>
      </c>
      <c r="F53" s="1">
        <v>1</v>
      </c>
      <c r="G53" s="1">
        <v>15</v>
      </c>
      <c r="H53" s="1">
        <v>2940.35</v>
      </c>
      <c r="I53" s="1">
        <v>490.06</v>
      </c>
      <c r="J53" s="1">
        <v>15</v>
      </c>
    </row>
    <row r="54" spans="4:10" ht="43.2" x14ac:dyDescent="0.3">
      <c r="D54" s="1" t="s">
        <v>22</v>
      </c>
      <c r="E54" s="1" t="s">
        <v>99</v>
      </c>
      <c r="F54" s="1">
        <v>1</v>
      </c>
      <c r="G54" s="1">
        <v>11</v>
      </c>
      <c r="H54" s="1">
        <v>2381.8000000000002</v>
      </c>
      <c r="I54" s="1">
        <v>396.97</v>
      </c>
      <c r="J54" s="1">
        <v>11</v>
      </c>
    </row>
    <row r="55" spans="4:10" ht="28.8" x14ac:dyDescent="0.3">
      <c r="D55" s="1" t="s">
        <v>45</v>
      </c>
      <c r="E55" s="1" t="s">
        <v>100</v>
      </c>
      <c r="F55" s="1">
        <v>1</v>
      </c>
      <c r="G55" s="1">
        <v>5</v>
      </c>
      <c r="H55" s="1">
        <v>2213.35</v>
      </c>
      <c r="I55" s="1">
        <v>737.78</v>
      </c>
      <c r="J55" s="1">
        <v>5</v>
      </c>
    </row>
    <row r="56" spans="4:10" ht="43.2" x14ac:dyDescent="0.3">
      <c r="D56" s="1" t="s">
        <v>45</v>
      </c>
      <c r="E56" s="1" t="s">
        <v>101</v>
      </c>
      <c r="F56" s="1">
        <v>1</v>
      </c>
      <c r="G56" s="1">
        <v>11</v>
      </c>
      <c r="H56" s="1">
        <v>1992.05</v>
      </c>
      <c r="I56" s="1">
        <v>498.01</v>
      </c>
      <c r="J56" s="1">
        <v>11</v>
      </c>
    </row>
    <row r="57" spans="4:10" ht="43.2" x14ac:dyDescent="0.3">
      <c r="D57" s="1" t="s">
        <v>22</v>
      </c>
      <c r="E57" s="1" t="s">
        <v>102</v>
      </c>
      <c r="F57" s="1">
        <v>1</v>
      </c>
      <c r="G57" s="1">
        <v>7</v>
      </c>
      <c r="H57" s="1">
        <v>1984.36</v>
      </c>
      <c r="I57" s="1">
        <v>496.09</v>
      </c>
      <c r="J57" s="1">
        <v>7</v>
      </c>
    </row>
    <row r="58" spans="4:10" ht="28.8" x14ac:dyDescent="0.3">
      <c r="D58" s="1" t="s">
        <v>26</v>
      </c>
      <c r="E58" s="1" t="s">
        <v>103</v>
      </c>
      <c r="F58" s="1">
        <v>1</v>
      </c>
      <c r="G58" s="1">
        <v>8</v>
      </c>
      <c r="H58" s="1">
        <v>1947.24</v>
      </c>
      <c r="I58" s="1">
        <v>649.08000000000004</v>
      </c>
      <c r="J58" s="1">
        <v>8</v>
      </c>
    </row>
    <row r="59" spans="4:10" ht="43.2" x14ac:dyDescent="0.3">
      <c r="D59" s="1" t="s">
        <v>26</v>
      </c>
      <c r="E59" s="1" t="s">
        <v>104</v>
      </c>
      <c r="F59" s="1">
        <v>1</v>
      </c>
      <c r="G59" s="1">
        <v>9</v>
      </c>
      <c r="H59" s="1">
        <v>1571.2</v>
      </c>
      <c r="I59" s="1">
        <v>523.73</v>
      </c>
      <c r="J59" s="1">
        <v>9</v>
      </c>
    </row>
    <row r="60" spans="4:10" ht="43.2" x14ac:dyDescent="0.3">
      <c r="D60" s="1" t="s">
        <v>50</v>
      </c>
      <c r="E60" s="1" t="s">
        <v>105</v>
      </c>
      <c r="F60" s="1">
        <v>1</v>
      </c>
      <c r="G60" s="1">
        <v>4</v>
      </c>
      <c r="H60" s="1">
        <v>1488.7</v>
      </c>
      <c r="I60" s="1">
        <v>744.35</v>
      </c>
      <c r="J60" s="1">
        <v>4</v>
      </c>
    </row>
    <row r="61" spans="4:10" ht="28.8" x14ac:dyDescent="0.3">
      <c r="D61" s="1" t="s">
        <v>45</v>
      </c>
      <c r="E61" s="1" t="s">
        <v>106</v>
      </c>
      <c r="F61" s="1">
        <v>1</v>
      </c>
      <c r="G61" s="1">
        <v>10</v>
      </c>
      <c r="H61" s="1">
        <v>1480</v>
      </c>
      <c r="I61" s="1">
        <v>296</v>
      </c>
      <c r="J61" s="1">
        <v>10</v>
      </c>
    </row>
    <row r="62" spans="4:10" ht="43.2" x14ac:dyDescent="0.3">
      <c r="D62" s="1" t="s">
        <v>71</v>
      </c>
      <c r="E62" s="1" t="s">
        <v>107</v>
      </c>
      <c r="F62" s="1">
        <v>1</v>
      </c>
      <c r="G62" s="1">
        <v>8</v>
      </c>
      <c r="H62" s="1">
        <v>836.7</v>
      </c>
      <c r="I62" s="1">
        <v>167.34</v>
      </c>
      <c r="J62" s="1">
        <v>8</v>
      </c>
    </row>
    <row r="63" spans="4:10" ht="57.6" x14ac:dyDescent="0.3">
      <c r="D63" s="1" t="s">
        <v>36</v>
      </c>
      <c r="E63" s="1" t="s">
        <v>108</v>
      </c>
      <c r="F63" s="1">
        <v>1</v>
      </c>
      <c r="G63" s="1">
        <v>8</v>
      </c>
      <c r="H63" s="1">
        <v>522.5</v>
      </c>
      <c r="I63" s="1">
        <v>174.17</v>
      </c>
      <c r="J63" s="1">
        <v>8</v>
      </c>
    </row>
    <row r="64" spans="4:10" ht="57.6" x14ac:dyDescent="0.3">
      <c r="D64" s="1" t="s">
        <v>26</v>
      </c>
      <c r="E64" s="1" t="s">
        <v>109</v>
      </c>
      <c r="F64" s="1">
        <v>1</v>
      </c>
      <c r="G64" s="1">
        <v>2</v>
      </c>
      <c r="H64" s="1">
        <v>357</v>
      </c>
      <c r="I64" s="1">
        <v>178.5</v>
      </c>
      <c r="J64" s="1">
        <v>2</v>
      </c>
    </row>
    <row r="65" spans="4:10" ht="28.8" x14ac:dyDescent="0.3">
      <c r="D65" s="1" t="s">
        <v>81</v>
      </c>
      <c r="E65" s="1" t="s">
        <v>110</v>
      </c>
      <c r="F65" s="1">
        <v>1</v>
      </c>
      <c r="G65" s="1">
        <v>6</v>
      </c>
      <c r="H65" s="1">
        <v>249.7</v>
      </c>
      <c r="I65" s="1">
        <v>62.42</v>
      </c>
      <c r="J65" s="1">
        <v>6</v>
      </c>
    </row>
    <row r="66" spans="4:10" ht="28.8" x14ac:dyDescent="0.3">
      <c r="D66" s="1" t="s">
        <v>67</v>
      </c>
      <c r="E66" s="1" t="s">
        <v>68</v>
      </c>
      <c r="F66" s="1">
        <v>2</v>
      </c>
      <c r="G66" s="1">
        <v>30</v>
      </c>
      <c r="H66" s="1">
        <v>12468.65</v>
      </c>
      <c r="I66" s="1">
        <v>959.13</v>
      </c>
      <c r="J66" s="1">
        <v>15</v>
      </c>
    </row>
    <row r="67" spans="4:10" ht="43.2" x14ac:dyDescent="0.3">
      <c r="D67" s="1" t="s">
        <v>71</v>
      </c>
      <c r="E67" s="1" t="s">
        <v>84</v>
      </c>
      <c r="F67" s="1">
        <v>2</v>
      </c>
      <c r="G67" s="1">
        <v>16</v>
      </c>
      <c r="H67" s="1">
        <v>6404.09</v>
      </c>
      <c r="I67" s="1">
        <v>914.87</v>
      </c>
      <c r="J67" s="1">
        <v>8</v>
      </c>
    </row>
    <row r="68" spans="4:10" ht="43.2" x14ac:dyDescent="0.3">
      <c r="D68" s="1" t="s">
        <v>26</v>
      </c>
      <c r="E68" s="1" t="s">
        <v>87</v>
      </c>
      <c r="F68" s="1">
        <v>2</v>
      </c>
      <c r="G68" s="1">
        <v>18</v>
      </c>
      <c r="H68" s="1">
        <v>6044.6</v>
      </c>
      <c r="I68" s="1">
        <v>549.51</v>
      </c>
      <c r="J68" s="1">
        <v>9</v>
      </c>
    </row>
    <row r="69" spans="4:10" ht="43.2" x14ac:dyDescent="0.3">
      <c r="D69" s="1" t="s">
        <v>45</v>
      </c>
      <c r="E69" s="1" t="s">
        <v>92</v>
      </c>
      <c r="F69" s="1">
        <v>2</v>
      </c>
      <c r="G69" s="1">
        <v>15</v>
      </c>
      <c r="H69" s="1">
        <v>4788.0600000000004</v>
      </c>
      <c r="I69" s="1">
        <v>684.01</v>
      </c>
      <c r="J69" s="1">
        <v>7.5</v>
      </c>
    </row>
    <row r="70" spans="4:10" ht="72" x14ac:dyDescent="0.3">
      <c r="D70" s="1" t="s">
        <v>31</v>
      </c>
      <c r="E70" s="1" t="s">
        <v>32</v>
      </c>
      <c r="F70" s="1">
        <v>3</v>
      </c>
      <c r="G70" s="1">
        <v>76</v>
      </c>
      <c r="H70" s="1">
        <v>49094.18</v>
      </c>
      <c r="I70" s="1">
        <v>1583.68</v>
      </c>
      <c r="J70" s="1">
        <v>25.33</v>
      </c>
    </row>
    <row r="71" spans="4:10" ht="72" x14ac:dyDescent="0.3">
      <c r="D71" s="1" t="s">
        <v>79</v>
      </c>
      <c r="E71" s="1" t="s">
        <v>80</v>
      </c>
      <c r="F71" s="1">
        <v>3</v>
      </c>
      <c r="G71" s="1">
        <v>30</v>
      </c>
      <c r="H71" s="1">
        <v>7738.1</v>
      </c>
      <c r="I71" s="1">
        <v>552.72</v>
      </c>
      <c r="J71" s="1">
        <v>10</v>
      </c>
    </row>
    <row r="72" spans="4:10" ht="57.6" x14ac:dyDescent="0.3">
      <c r="D72" s="1" t="s">
        <v>31</v>
      </c>
      <c r="E72" s="1" t="s">
        <v>35</v>
      </c>
      <c r="F72" s="1">
        <v>4</v>
      </c>
      <c r="G72" s="1">
        <v>77</v>
      </c>
      <c r="H72" s="1">
        <v>42995.82</v>
      </c>
      <c r="I72" s="1">
        <v>1482.61</v>
      </c>
      <c r="J72" s="1">
        <v>19.25</v>
      </c>
    </row>
    <row r="73" spans="4:10" ht="72" x14ac:dyDescent="0.3">
      <c r="D73" s="1" t="s">
        <v>43</v>
      </c>
      <c r="E73" s="1" t="s">
        <v>44</v>
      </c>
      <c r="F73" s="1">
        <v>5</v>
      </c>
      <c r="G73" s="1">
        <v>69</v>
      </c>
      <c r="H73" s="1">
        <v>23413.45</v>
      </c>
      <c r="I73" s="1">
        <v>900.52</v>
      </c>
      <c r="J73" s="1">
        <v>13.8</v>
      </c>
    </row>
    <row r="74" spans="4:10" ht="28.8" x14ac:dyDescent="0.3">
      <c r="D74" s="1" t="s">
        <v>33</v>
      </c>
      <c r="E74" s="1" t="s">
        <v>34</v>
      </c>
      <c r="F74" s="1">
        <v>6</v>
      </c>
      <c r="G74" s="1">
        <v>98</v>
      </c>
      <c r="H74" s="1">
        <v>45636.4</v>
      </c>
      <c r="I74" s="1">
        <v>1140.9100000000001</v>
      </c>
      <c r="J74" s="1">
        <v>16.329999999999998</v>
      </c>
    </row>
  </sheetData>
  <sortState xmlns:xlrd2="http://schemas.microsoft.com/office/spreadsheetml/2017/richdata2" columnSort="1" ref="O6:Q97">
    <sortCondition descending="1" ref="P6"/>
  </sortState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51C1-038B-478C-9693-F9CC29DF46CF}">
  <dimension ref="F3:N94"/>
  <sheetViews>
    <sheetView workbookViewId="0">
      <selection activeCell="Q13" sqref="Q13"/>
    </sheetView>
  </sheetViews>
  <sheetFormatPr defaultRowHeight="14.4" x14ac:dyDescent="0.3"/>
  <cols>
    <col min="6" max="6" width="11" bestFit="1" customWidth="1"/>
    <col min="7" max="7" width="13.5546875" bestFit="1" customWidth="1"/>
    <col min="8" max="8" width="11" bestFit="1" customWidth="1"/>
    <col min="9" max="9" width="3.21875" bestFit="1" customWidth="1"/>
    <col min="13" max="13" width="13.88671875" bestFit="1" customWidth="1"/>
    <col min="14" max="14" width="20.77734375" bestFit="1" customWidth="1"/>
  </cols>
  <sheetData>
    <row r="3" spans="6:14" x14ac:dyDescent="0.3">
      <c r="F3" t="s">
        <v>112</v>
      </c>
    </row>
    <row r="5" spans="6:14" x14ac:dyDescent="0.3">
      <c r="F5" t="s">
        <v>7</v>
      </c>
      <c r="G5" t="s">
        <v>117</v>
      </c>
      <c r="H5" t="s">
        <v>118</v>
      </c>
      <c r="I5" t="s">
        <v>119</v>
      </c>
    </row>
    <row r="6" spans="6:14" x14ac:dyDescent="0.3">
      <c r="F6" s="1" t="s">
        <v>4</v>
      </c>
      <c r="G6" s="1" t="s">
        <v>120</v>
      </c>
      <c r="H6" s="1">
        <v>20</v>
      </c>
      <c r="I6" s="1">
        <v>1</v>
      </c>
    </row>
    <row r="7" spans="6:14" x14ac:dyDescent="0.3">
      <c r="F7" s="1" t="s">
        <v>0</v>
      </c>
      <c r="G7" s="1" t="s">
        <v>121</v>
      </c>
      <c r="H7" s="1">
        <v>19</v>
      </c>
      <c r="I7" s="1">
        <v>1</v>
      </c>
      <c r="M7" s="5" t="s">
        <v>11</v>
      </c>
      <c r="N7" t="s">
        <v>211</v>
      </c>
    </row>
    <row r="8" spans="6:14" x14ac:dyDescent="0.3">
      <c r="F8" s="1" t="s">
        <v>2</v>
      </c>
      <c r="G8" s="1" t="s">
        <v>122</v>
      </c>
      <c r="H8" s="1">
        <v>18</v>
      </c>
      <c r="I8" s="1">
        <v>1</v>
      </c>
      <c r="M8" s="6" t="s">
        <v>122</v>
      </c>
      <c r="N8" s="7">
        <v>25</v>
      </c>
    </row>
    <row r="9" spans="6:14" x14ac:dyDescent="0.3">
      <c r="F9" s="1" t="s">
        <v>123</v>
      </c>
      <c r="G9" s="1" t="s">
        <v>122</v>
      </c>
      <c r="H9" s="1">
        <v>13</v>
      </c>
      <c r="I9" s="1">
        <v>1</v>
      </c>
      <c r="M9" s="6" t="s">
        <v>139</v>
      </c>
      <c r="N9" s="7">
        <v>8</v>
      </c>
    </row>
    <row r="10" spans="6:14" x14ac:dyDescent="0.3">
      <c r="F10" s="1" t="s">
        <v>1</v>
      </c>
      <c r="G10" s="1" t="s">
        <v>121</v>
      </c>
      <c r="H10" s="1">
        <v>13</v>
      </c>
      <c r="I10" s="1">
        <v>1</v>
      </c>
      <c r="M10" s="6" t="s">
        <v>131</v>
      </c>
      <c r="N10" s="7">
        <v>19</v>
      </c>
    </row>
    <row r="11" spans="6:14" x14ac:dyDescent="0.3">
      <c r="F11" s="1" t="s">
        <v>124</v>
      </c>
      <c r="G11" s="1" t="s">
        <v>122</v>
      </c>
      <c r="H11" s="1">
        <v>11</v>
      </c>
      <c r="I11" s="1">
        <v>1</v>
      </c>
      <c r="M11" s="6" t="s">
        <v>121</v>
      </c>
      <c r="N11" s="7">
        <v>20</v>
      </c>
    </row>
    <row r="12" spans="6:14" x14ac:dyDescent="0.3">
      <c r="F12" s="1" t="s">
        <v>125</v>
      </c>
      <c r="G12" s="1" t="s">
        <v>120</v>
      </c>
      <c r="H12" s="1">
        <v>10</v>
      </c>
      <c r="I12" s="1">
        <v>1</v>
      </c>
      <c r="M12" s="6" t="s">
        <v>169</v>
      </c>
      <c r="N12" s="7">
        <v>6</v>
      </c>
    </row>
    <row r="13" spans="6:14" x14ac:dyDescent="0.3">
      <c r="F13" s="1" t="s">
        <v>126</v>
      </c>
      <c r="G13" s="1" t="s">
        <v>121</v>
      </c>
      <c r="H13" s="1">
        <v>10</v>
      </c>
      <c r="I13" s="1">
        <v>1</v>
      </c>
      <c r="M13" s="6" t="s">
        <v>190</v>
      </c>
      <c r="N13" s="7">
        <v>1</v>
      </c>
    </row>
    <row r="14" spans="6:14" x14ac:dyDescent="0.3">
      <c r="F14" s="1" t="s">
        <v>127</v>
      </c>
      <c r="G14" s="1" t="s">
        <v>122</v>
      </c>
      <c r="H14" s="1">
        <v>10</v>
      </c>
      <c r="I14" s="1">
        <v>1</v>
      </c>
      <c r="M14" s="6" t="s">
        <v>120</v>
      </c>
      <c r="N14" s="7">
        <v>10</v>
      </c>
    </row>
    <row r="15" spans="6:14" x14ac:dyDescent="0.3">
      <c r="F15" s="1" t="s">
        <v>3</v>
      </c>
      <c r="G15" s="1" t="s">
        <v>121</v>
      </c>
      <c r="H15" s="1">
        <v>10</v>
      </c>
      <c r="I15" s="1">
        <v>1</v>
      </c>
      <c r="M15" s="6" t="s">
        <v>13</v>
      </c>
      <c r="N15" s="7">
        <v>89</v>
      </c>
    </row>
    <row r="16" spans="6:14" x14ac:dyDescent="0.3">
      <c r="F16" s="1" t="s">
        <v>128</v>
      </c>
      <c r="G16" s="1" t="s">
        <v>120</v>
      </c>
      <c r="H16" s="1">
        <v>10</v>
      </c>
      <c r="I16" s="1">
        <v>1</v>
      </c>
    </row>
    <row r="17" spans="6:9" x14ac:dyDescent="0.3">
      <c r="F17" s="1" t="s">
        <v>129</v>
      </c>
      <c r="G17" s="1" t="s">
        <v>121</v>
      </c>
      <c r="H17" s="1">
        <v>9</v>
      </c>
      <c r="I17" s="1">
        <v>1</v>
      </c>
    </row>
    <row r="18" spans="6:9" x14ac:dyDescent="0.3">
      <c r="F18" s="1" t="s">
        <v>130</v>
      </c>
      <c r="G18" s="1" t="s">
        <v>131</v>
      </c>
      <c r="H18" s="1">
        <v>9</v>
      </c>
      <c r="I18" s="1">
        <v>1</v>
      </c>
    </row>
    <row r="19" spans="6:9" x14ac:dyDescent="0.3">
      <c r="F19" s="1" t="s">
        <v>132</v>
      </c>
      <c r="G19" s="1" t="s">
        <v>122</v>
      </c>
      <c r="H19" s="1">
        <v>9</v>
      </c>
      <c r="I19" s="1">
        <v>1</v>
      </c>
    </row>
    <row r="20" spans="6:9" x14ac:dyDescent="0.3">
      <c r="F20" s="1" t="s">
        <v>133</v>
      </c>
      <c r="G20" s="1" t="s">
        <v>121</v>
      </c>
      <c r="H20" s="1">
        <v>9</v>
      </c>
      <c r="I20" s="1">
        <v>1</v>
      </c>
    </row>
    <row r="21" spans="6:9" x14ac:dyDescent="0.3">
      <c r="F21" s="1" t="s">
        <v>134</v>
      </c>
      <c r="G21" s="1" t="s">
        <v>131</v>
      </c>
      <c r="H21" s="1">
        <v>8</v>
      </c>
      <c r="I21" s="1">
        <v>1</v>
      </c>
    </row>
    <row r="22" spans="6:9" x14ac:dyDescent="0.3">
      <c r="F22" s="1" t="s">
        <v>135</v>
      </c>
      <c r="G22" s="1" t="s">
        <v>122</v>
      </c>
      <c r="H22" s="1">
        <v>8</v>
      </c>
      <c r="I22" s="1">
        <v>1</v>
      </c>
    </row>
    <row r="23" spans="6:9" x14ac:dyDescent="0.3">
      <c r="F23" s="1" t="s">
        <v>136</v>
      </c>
      <c r="G23" s="1" t="s">
        <v>131</v>
      </c>
      <c r="H23" s="1">
        <v>8</v>
      </c>
      <c r="I23" s="1">
        <v>1</v>
      </c>
    </row>
    <row r="24" spans="6:9" x14ac:dyDescent="0.3">
      <c r="F24" s="1" t="s">
        <v>137</v>
      </c>
      <c r="G24" s="1" t="s">
        <v>131</v>
      </c>
      <c r="H24" s="1">
        <v>8</v>
      </c>
      <c r="I24" s="1">
        <v>1</v>
      </c>
    </row>
    <row r="25" spans="6:9" x14ac:dyDescent="0.3">
      <c r="F25" s="1" t="s">
        <v>138</v>
      </c>
      <c r="G25" s="1" t="s">
        <v>139</v>
      </c>
      <c r="H25" s="1">
        <v>8</v>
      </c>
      <c r="I25" s="1">
        <v>1</v>
      </c>
    </row>
    <row r="26" spans="6:9" x14ac:dyDescent="0.3">
      <c r="F26" s="1" t="s">
        <v>140</v>
      </c>
      <c r="G26" s="1" t="s">
        <v>122</v>
      </c>
      <c r="H26" s="1">
        <v>7</v>
      </c>
      <c r="I26" s="1">
        <v>1</v>
      </c>
    </row>
    <row r="27" spans="6:9" x14ac:dyDescent="0.3">
      <c r="F27" s="1" t="s">
        <v>141</v>
      </c>
      <c r="G27" s="1" t="s">
        <v>120</v>
      </c>
      <c r="H27" s="1">
        <v>7</v>
      </c>
      <c r="I27" s="1">
        <v>1</v>
      </c>
    </row>
    <row r="28" spans="6:9" x14ac:dyDescent="0.3">
      <c r="F28" s="1" t="s">
        <v>142</v>
      </c>
      <c r="G28" s="1" t="s">
        <v>121</v>
      </c>
      <c r="H28" s="1">
        <v>7</v>
      </c>
      <c r="I28" s="1">
        <v>1</v>
      </c>
    </row>
    <row r="29" spans="6:9" x14ac:dyDescent="0.3">
      <c r="F29" s="1" t="s">
        <v>143</v>
      </c>
      <c r="G29" s="1" t="s">
        <v>131</v>
      </c>
      <c r="H29" s="1">
        <v>7</v>
      </c>
      <c r="I29" s="1">
        <v>1</v>
      </c>
    </row>
    <row r="30" spans="6:9" x14ac:dyDescent="0.3">
      <c r="F30" s="1" t="s">
        <v>144</v>
      </c>
      <c r="G30" s="1" t="s">
        <v>122</v>
      </c>
      <c r="H30" s="1">
        <v>7</v>
      </c>
      <c r="I30" s="1">
        <v>1</v>
      </c>
    </row>
    <row r="31" spans="6:9" x14ac:dyDescent="0.3">
      <c r="F31" s="1" t="s">
        <v>145</v>
      </c>
      <c r="G31" s="1" t="s">
        <v>120</v>
      </c>
      <c r="H31" s="1">
        <v>6</v>
      </c>
      <c r="I31" s="1">
        <v>1</v>
      </c>
    </row>
    <row r="32" spans="6:9" x14ac:dyDescent="0.3">
      <c r="F32" s="1" t="s">
        <v>146</v>
      </c>
      <c r="G32" s="1" t="s">
        <v>122</v>
      </c>
      <c r="H32" s="1">
        <v>6</v>
      </c>
      <c r="I32" s="1">
        <v>1</v>
      </c>
    </row>
    <row r="33" spans="6:9" x14ac:dyDescent="0.3">
      <c r="F33" s="1" t="s">
        <v>147</v>
      </c>
      <c r="G33" s="1" t="s">
        <v>122</v>
      </c>
      <c r="H33" s="1">
        <v>6</v>
      </c>
      <c r="I33" s="1">
        <v>1</v>
      </c>
    </row>
    <row r="34" spans="6:9" x14ac:dyDescent="0.3">
      <c r="F34" s="1" t="s">
        <v>148</v>
      </c>
      <c r="G34" s="1" t="s">
        <v>139</v>
      </c>
      <c r="H34" s="1">
        <v>6</v>
      </c>
      <c r="I34" s="1">
        <v>1</v>
      </c>
    </row>
    <row r="35" spans="6:9" x14ac:dyDescent="0.3">
      <c r="F35" s="1" t="s">
        <v>149</v>
      </c>
      <c r="G35" s="1" t="s">
        <v>122</v>
      </c>
      <c r="H35" s="1">
        <v>6</v>
      </c>
      <c r="I35" s="1">
        <v>1</v>
      </c>
    </row>
    <row r="36" spans="6:9" x14ac:dyDescent="0.3">
      <c r="F36" s="1" t="s">
        <v>150</v>
      </c>
      <c r="G36" s="1" t="s">
        <v>121</v>
      </c>
      <c r="H36" s="1">
        <v>6</v>
      </c>
      <c r="I36" s="1">
        <v>1</v>
      </c>
    </row>
    <row r="37" spans="6:9" x14ac:dyDescent="0.3">
      <c r="F37" s="1" t="s">
        <v>151</v>
      </c>
      <c r="G37" s="1" t="s">
        <v>122</v>
      </c>
      <c r="H37" s="1">
        <v>6</v>
      </c>
      <c r="I37" s="1">
        <v>1</v>
      </c>
    </row>
    <row r="38" spans="6:9" x14ac:dyDescent="0.3">
      <c r="F38" s="1" t="s">
        <v>152</v>
      </c>
      <c r="G38" s="1" t="s">
        <v>139</v>
      </c>
      <c r="H38" s="1">
        <v>6</v>
      </c>
      <c r="I38" s="1">
        <v>1</v>
      </c>
    </row>
    <row r="39" spans="6:9" x14ac:dyDescent="0.3">
      <c r="F39" s="1" t="s">
        <v>153</v>
      </c>
      <c r="G39" s="1" t="s">
        <v>139</v>
      </c>
      <c r="H39" s="1">
        <v>6</v>
      </c>
      <c r="I39" s="1">
        <v>1</v>
      </c>
    </row>
    <row r="40" spans="6:9" x14ac:dyDescent="0.3">
      <c r="F40" s="1" t="s">
        <v>154</v>
      </c>
      <c r="G40" s="1" t="s">
        <v>131</v>
      </c>
      <c r="H40" s="1">
        <v>6</v>
      </c>
      <c r="I40" s="1">
        <v>1</v>
      </c>
    </row>
    <row r="41" spans="6:9" x14ac:dyDescent="0.3">
      <c r="F41" s="1" t="s">
        <v>155</v>
      </c>
      <c r="G41" s="1" t="s">
        <v>121</v>
      </c>
      <c r="H41" s="1">
        <v>5</v>
      </c>
      <c r="I41" s="1">
        <v>1</v>
      </c>
    </row>
    <row r="42" spans="6:9" x14ac:dyDescent="0.3">
      <c r="F42" s="1" t="s">
        <v>156</v>
      </c>
      <c r="G42" s="1" t="s">
        <v>121</v>
      </c>
      <c r="H42" s="1">
        <v>5</v>
      </c>
      <c r="I42" s="1">
        <v>1</v>
      </c>
    </row>
    <row r="43" spans="6:9" x14ac:dyDescent="0.3">
      <c r="F43" s="1" t="s">
        <v>157</v>
      </c>
      <c r="G43" s="1" t="s">
        <v>121</v>
      </c>
      <c r="H43" s="1">
        <v>5</v>
      </c>
      <c r="I43" s="1">
        <v>1</v>
      </c>
    </row>
    <row r="44" spans="6:9" x14ac:dyDescent="0.3">
      <c r="F44" s="1" t="s">
        <v>158</v>
      </c>
      <c r="G44" s="1" t="s">
        <v>121</v>
      </c>
      <c r="H44" s="1">
        <v>5</v>
      </c>
      <c r="I44" s="1">
        <v>1</v>
      </c>
    </row>
    <row r="45" spans="6:9" x14ac:dyDescent="0.3">
      <c r="F45" s="1" t="s">
        <v>159</v>
      </c>
      <c r="G45" s="1" t="s">
        <v>131</v>
      </c>
      <c r="H45" s="1">
        <v>5</v>
      </c>
      <c r="I45" s="1">
        <v>1</v>
      </c>
    </row>
    <row r="46" spans="6:9" x14ac:dyDescent="0.3">
      <c r="F46" s="1" t="s">
        <v>160</v>
      </c>
      <c r="G46" s="1" t="s">
        <v>122</v>
      </c>
      <c r="H46" s="1">
        <v>5</v>
      </c>
      <c r="I46" s="1">
        <v>1</v>
      </c>
    </row>
    <row r="47" spans="6:9" x14ac:dyDescent="0.3">
      <c r="F47" s="1" t="s">
        <v>161</v>
      </c>
      <c r="G47" s="1" t="s">
        <v>121</v>
      </c>
      <c r="H47" s="1">
        <v>5</v>
      </c>
      <c r="I47" s="1">
        <v>1</v>
      </c>
    </row>
    <row r="48" spans="6:9" x14ac:dyDescent="0.3">
      <c r="F48" s="1" t="s">
        <v>162</v>
      </c>
      <c r="G48" s="1" t="s">
        <v>122</v>
      </c>
      <c r="H48" s="1">
        <v>5</v>
      </c>
      <c r="I48" s="1">
        <v>1</v>
      </c>
    </row>
    <row r="49" spans="6:9" x14ac:dyDescent="0.3">
      <c r="F49" s="1" t="s">
        <v>163</v>
      </c>
      <c r="G49" s="1" t="s">
        <v>120</v>
      </c>
      <c r="H49" s="1">
        <v>5</v>
      </c>
      <c r="I49" s="1">
        <v>1</v>
      </c>
    </row>
    <row r="50" spans="6:9" x14ac:dyDescent="0.3">
      <c r="F50" s="1" t="s">
        <v>164</v>
      </c>
      <c r="G50" s="1" t="s">
        <v>121</v>
      </c>
      <c r="H50" s="1">
        <v>5</v>
      </c>
      <c r="I50" s="1">
        <v>1</v>
      </c>
    </row>
    <row r="51" spans="6:9" x14ac:dyDescent="0.3">
      <c r="F51" s="1" t="s">
        <v>165</v>
      </c>
      <c r="G51" s="1" t="s">
        <v>131</v>
      </c>
      <c r="H51" s="1">
        <v>5</v>
      </c>
      <c r="I51" s="1">
        <v>1</v>
      </c>
    </row>
    <row r="52" spans="6:9" x14ac:dyDescent="0.3">
      <c r="F52" s="1" t="s">
        <v>166</v>
      </c>
      <c r="G52" s="1" t="s">
        <v>120</v>
      </c>
      <c r="H52" s="1">
        <v>4</v>
      </c>
      <c r="I52" s="1">
        <v>1</v>
      </c>
    </row>
    <row r="53" spans="6:9" x14ac:dyDescent="0.3">
      <c r="F53" s="1" t="s">
        <v>167</v>
      </c>
      <c r="G53" s="1" t="s">
        <v>131</v>
      </c>
      <c r="H53" s="1">
        <v>4</v>
      </c>
      <c r="I53" s="1">
        <v>1</v>
      </c>
    </row>
    <row r="54" spans="6:9" x14ac:dyDescent="0.3">
      <c r="F54" s="1" t="s">
        <v>168</v>
      </c>
      <c r="G54" s="1" t="s">
        <v>169</v>
      </c>
      <c r="H54" s="1">
        <v>4</v>
      </c>
      <c r="I54" s="1">
        <v>1</v>
      </c>
    </row>
    <row r="55" spans="6:9" x14ac:dyDescent="0.3">
      <c r="F55" s="1" t="s">
        <v>170</v>
      </c>
      <c r="G55" s="1" t="s">
        <v>131</v>
      </c>
      <c r="H55" s="1">
        <v>4</v>
      </c>
      <c r="I55" s="1">
        <v>1</v>
      </c>
    </row>
    <row r="56" spans="6:9" x14ac:dyDescent="0.3">
      <c r="F56" s="1" t="s">
        <v>171</v>
      </c>
      <c r="G56" s="1" t="s">
        <v>169</v>
      </c>
      <c r="H56" s="1">
        <v>4</v>
      </c>
      <c r="I56" s="1">
        <v>1</v>
      </c>
    </row>
    <row r="57" spans="6:9" x14ac:dyDescent="0.3">
      <c r="F57" s="1" t="s">
        <v>172</v>
      </c>
      <c r="G57" s="1" t="s">
        <v>139</v>
      </c>
      <c r="H57" s="1">
        <v>4</v>
      </c>
      <c r="I57" s="1">
        <v>1</v>
      </c>
    </row>
    <row r="58" spans="6:9" x14ac:dyDescent="0.3">
      <c r="F58" s="1" t="s">
        <v>173</v>
      </c>
      <c r="G58" s="1" t="s">
        <v>120</v>
      </c>
      <c r="H58" s="1">
        <v>4</v>
      </c>
      <c r="I58" s="1">
        <v>1</v>
      </c>
    </row>
    <row r="59" spans="6:9" x14ac:dyDescent="0.3">
      <c r="F59" s="1" t="s">
        <v>174</v>
      </c>
      <c r="G59" s="1" t="s">
        <v>122</v>
      </c>
      <c r="H59" s="1">
        <v>4</v>
      </c>
      <c r="I59" s="1">
        <v>1</v>
      </c>
    </row>
    <row r="60" spans="6:9" x14ac:dyDescent="0.3">
      <c r="F60" s="1" t="s">
        <v>175</v>
      </c>
      <c r="G60" s="1" t="s">
        <v>122</v>
      </c>
      <c r="H60" s="1">
        <v>4</v>
      </c>
      <c r="I60" s="1">
        <v>1</v>
      </c>
    </row>
    <row r="61" spans="6:9" x14ac:dyDescent="0.3">
      <c r="F61" s="1" t="s">
        <v>176</v>
      </c>
      <c r="G61" s="1" t="s">
        <v>121</v>
      </c>
      <c r="H61" s="1">
        <v>4</v>
      </c>
      <c r="I61" s="1">
        <v>1</v>
      </c>
    </row>
    <row r="62" spans="6:9" x14ac:dyDescent="0.3">
      <c r="F62" s="1" t="s">
        <v>177</v>
      </c>
      <c r="G62" s="1" t="s">
        <v>131</v>
      </c>
      <c r="H62" s="1">
        <v>4</v>
      </c>
      <c r="I62" s="1">
        <v>1</v>
      </c>
    </row>
    <row r="63" spans="6:9" x14ac:dyDescent="0.3">
      <c r="F63" s="1" t="s">
        <v>178</v>
      </c>
      <c r="G63" s="1" t="s">
        <v>122</v>
      </c>
      <c r="H63" s="1">
        <v>4</v>
      </c>
      <c r="I63" s="1">
        <v>1</v>
      </c>
    </row>
    <row r="64" spans="6:9" x14ac:dyDescent="0.3">
      <c r="F64" s="1" t="s">
        <v>179</v>
      </c>
      <c r="G64" s="1" t="s">
        <v>131</v>
      </c>
      <c r="H64" s="1">
        <v>4</v>
      </c>
      <c r="I64" s="1">
        <v>1</v>
      </c>
    </row>
    <row r="65" spans="6:9" x14ac:dyDescent="0.3">
      <c r="F65" s="1" t="s">
        <v>180</v>
      </c>
      <c r="G65" s="1" t="s">
        <v>169</v>
      </c>
      <c r="H65" s="1">
        <v>4</v>
      </c>
      <c r="I65" s="1">
        <v>1</v>
      </c>
    </row>
    <row r="66" spans="6:9" x14ac:dyDescent="0.3">
      <c r="F66" s="1" t="s">
        <v>181</v>
      </c>
      <c r="G66" s="1" t="s">
        <v>139</v>
      </c>
      <c r="H66" s="1">
        <v>4</v>
      </c>
      <c r="I66" s="1">
        <v>1</v>
      </c>
    </row>
    <row r="67" spans="6:9" x14ac:dyDescent="0.3">
      <c r="F67" s="1" t="s">
        <v>182</v>
      </c>
      <c r="G67" s="1" t="s">
        <v>131</v>
      </c>
      <c r="H67" s="1">
        <v>4</v>
      </c>
      <c r="I67" s="1">
        <v>1</v>
      </c>
    </row>
    <row r="68" spans="6:9" x14ac:dyDescent="0.3">
      <c r="F68" s="1" t="s">
        <v>183</v>
      </c>
      <c r="G68" s="1" t="s">
        <v>121</v>
      </c>
      <c r="H68" s="1">
        <v>4</v>
      </c>
      <c r="I68" s="1">
        <v>1</v>
      </c>
    </row>
    <row r="69" spans="6:9" x14ac:dyDescent="0.3">
      <c r="F69" s="1" t="s">
        <v>184</v>
      </c>
      <c r="G69" s="1" t="s">
        <v>131</v>
      </c>
      <c r="H69" s="1">
        <v>3</v>
      </c>
      <c r="I69" s="1">
        <v>1</v>
      </c>
    </row>
    <row r="70" spans="6:9" x14ac:dyDescent="0.3">
      <c r="F70" s="1" t="s">
        <v>185</v>
      </c>
      <c r="G70" s="1" t="s">
        <v>131</v>
      </c>
      <c r="H70" s="1">
        <v>3</v>
      </c>
      <c r="I70" s="1">
        <v>1</v>
      </c>
    </row>
    <row r="71" spans="6:9" x14ac:dyDescent="0.3">
      <c r="F71" s="1" t="s">
        <v>186</v>
      </c>
      <c r="G71" s="1" t="s">
        <v>131</v>
      </c>
      <c r="H71" s="1">
        <v>3</v>
      </c>
      <c r="I71" s="1">
        <v>1</v>
      </c>
    </row>
    <row r="72" spans="6:9" x14ac:dyDescent="0.3">
      <c r="F72" s="1" t="s">
        <v>187</v>
      </c>
      <c r="G72" s="1" t="s">
        <v>131</v>
      </c>
      <c r="H72" s="1">
        <v>3</v>
      </c>
      <c r="I72" s="1">
        <v>1</v>
      </c>
    </row>
    <row r="73" spans="6:9" x14ac:dyDescent="0.3">
      <c r="F73" s="1" t="s">
        <v>188</v>
      </c>
      <c r="G73" s="1" t="s">
        <v>122</v>
      </c>
      <c r="H73" s="1">
        <v>3</v>
      </c>
      <c r="I73" s="1">
        <v>1</v>
      </c>
    </row>
    <row r="74" spans="6:9" x14ac:dyDescent="0.3">
      <c r="F74" s="1" t="s">
        <v>189</v>
      </c>
      <c r="G74" s="1" t="s">
        <v>190</v>
      </c>
      <c r="H74" s="1">
        <v>3</v>
      </c>
      <c r="I74" s="1">
        <v>1</v>
      </c>
    </row>
    <row r="75" spans="6:9" x14ac:dyDescent="0.3">
      <c r="F75" s="1" t="s">
        <v>191</v>
      </c>
      <c r="G75" s="1" t="s">
        <v>122</v>
      </c>
      <c r="H75" s="1">
        <v>3</v>
      </c>
      <c r="I75" s="1">
        <v>1</v>
      </c>
    </row>
    <row r="76" spans="6:9" x14ac:dyDescent="0.3">
      <c r="F76" s="1" t="s">
        <v>192</v>
      </c>
      <c r="G76" s="1" t="s">
        <v>121</v>
      </c>
      <c r="H76" s="1">
        <v>3</v>
      </c>
      <c r="I76" s="1">
        <v>1</v>
      </c>
    </row>
    <row r="77" spans="6:9" x14ac:dyDescent="0.3">
      <c r="F77" s="1" t="s">
        <v>193</v>
      </c>
      <c r="G77" s="1" t="s">
        <v>121</v>
      </c>
      <c r="H77" s="1">
        <v>3</v>
      </c>
      <c r="I77" s="1">
        <v>1</v>
      </c>
    </row>
    <row r="78" spans="6:9" x14ac:dyDescent="0.3">
      <c r="F78" s="1" t="s">
        <v>194</v>
      </c>
      <c r="G78" s="1" t="s">
        <v>120</v>
      </c>
      <c r="H78" s="1">
        <v>3</v>
      </c>
      <c r="I78" s="1">
        <v>1</v>
      </c>
    </row>
    <row r="79" spans="6:9" x14ac:dyDescent="0.3">
      <c r="F79" s="1" t="s">
        <v>195</v>
      </c>
      <c r="G79" s="1" t="s">
        <v>169</v>
      </c>
      <c r="H79" s="1">
        <v>2</v>
      </c>
      <c r="I79" s="1">
        <v>1</v>
      </c>
    </row>
    <row r="80" spans="6:9" x14ac:dyDescent="0.3">
      <c r="F80" s="1" t="s">
        <v>196</v>
      </c>
      <c r="G80" s="1" t="s">
        <v>139</v>
      </c>
      <c r="H80" s="1">
        <v>2</v>
      </c>
      <c r="I80" s="1">
        <v>1</v>
      </c>
    </row>
    <row r="81" spans="6:9" x14ac:dyDescent="0.3">
      <c r="F81" s="1" t="s">
        <v>197</v>
      </c>
      <c r="G81" s="1" t="s">
        <v>169</v>
      </c>
      <c r="H81" s="1">
        <v>2</v>
      </c>
      <c r="I81" s="1">
        <v>1</v>
      </c>
    </row>
    <row r="82" spans="6:9" x14ac:dyDescent="0.3">
      <c r="F82" s="1" t="s">
        <v>198</v>
      </c>
      <c r="G82" s="1" t="s">
        <v>122</v>
      </c>
      <c r="H82" s="1">
        <v>2</v>
      </c>
      <c r="I82" s="1">
        <v>1</v>
      </c>
    </row>
    <row r="83" spans="6:9" x14ac:dyDescent="0.3">
      <c r="F83" s="1" t="s">
        <v>199</v>
      </c>
      <c r="G83" s="1" t="s">
        <v>122</v>
      </c>
      <c r="H83" s="1">
        <v>2</v>
      </c>
      <c r="I83" s="1">
        <v>1</v>
      </c>
    </row>
    <row r="84" spans="6:9" x14ac:dyDescent="0.3">
      <c r="F84" s="1" t="s">
        <v>200</v>
      </c>
      <c r="G84" s="1" t="s">
        <v>122</v>
      </c>
      <c r="H84" s="1">
        <v>2</v>
      </c>
      <c r="I84" s="1">
        <v>1</v>
      </c>
    </row>
    <row r="85" spans="6:9" x14ac:dyDescent="0.3">
      <c r="F85" s="1" t="s">
        <v>201</v>
      </c>
      <c r="G85" s="1" t="s">
        <v>122</v>
      </c>
      <c r="H85" s="1">
        <v>2</v>
      </c>
      <c r="I85" s="1">
        <v>1</v>
      </c>
    </row>
    <row r="86" spans="6:9" x14ac:dyDescent="0.3">
      <c r="F86" s="1" t="s">
        <v>202</v>
      </c>
      <c r="G86" s="1" t="s">
        <v>122</v>
      </c>
      <c r="H86" s="1">
        <v>2</v>
      </c>
      <c r="I86" s="1">
        <v>1</v>
      </c>
    </row>
    <row r="87" spans="6:9" x14ac:dyDescent="0.3">
      <c r="F87" s="1" t="s">
        <v>203</v>
      </c>
      <c r="G87" s="1" t="s">
        <v>122</v>
      </c>
      <c r="H87" s="1">
        <v>2</v>
      </c>
      <c r="I87" s="1">
        <v>1</v>
      </c>
    </row>
    <row r="88" spans="6:9" x14ac:dyDescent="0.3">
      <c r="F88" s="1" t="s">
        <v>204</v>
      </c>
      <c r="G88" s="1" t="s">
        <v>131</v>
      </c>
      <c r="H88" s="1">
        <v>2</v>
      </c>
      <c r="I88" s="1">
        <v>1</v>
      </c>
    </row>
    <row r="89" spans="6:9" x14ac:dyDescent="0.3">
      <c r="F89" s="1" t="s">
        <v>205</v>
      </c>
      <c r="G89" s="1" t="s">
        <v>169</v>
      </c>
      <c r="H89" s="1">
        <v>2</v>
      </c>
      <c r="I89" s="1">
        <v>1</v>
      </c>
    </row>
    <row r="90" spans="6:9" x14ac:dyDescent="0.3">
      <c r="F90" s="1" t="s">
        <v>206</v>
      </c>
      <c r="G90" s="1" t="s">
        <v>139</v>
      </c>
      <c r="H90" s="1">
        <v>2</v>
      </c>
      <c r="I90" s="1">
        <v>1</v>
      </c>
    </row>
    <row r="91" spans="6:9" x14ac:dyDescent="0.3">
      <c r="F91" s="1" t="s">
        <v>207</v>
      </c>
      <c r="G91" s="1" t="s">
        <v>121</v>
      </c>
      <c r="H91" s="1">
        <v>2</v>
      </c>
      <c r="I91" s="1">
        <v>1</v>
      </c>
    </row>
    <row r="92" spans="6:9" x14ac:dyDescent="0.3">
      <c r="F92" s="1" t="s">
        <v>208</v>
      </c>
      <c r="G92" s="1" t="s">
        <v>131</v>
      </c>
      <c r="H92" s="1">
        <v>1</v>
      </c>
      <c r="I92" s="1">
        <v>1</v>
      </c>
    </row>
    <row r="93" spans="6:9" x14ac:dyDescent="0.3">
      <c r="F93" s="1" t="s">
        <v>209</v>
      </c>
      <c r="G93" s="1" t="s">
        <v>121</v>
      </c>
      <c r="H93" s="1">
        <v>1</v>
      </c>
      <c r="I93" s="1">
        <v>1</v>
      </c>
    </row>
    <row r="94" spans="6:9" x14ac:dyDescent="0.3">
      <c r="F94" s="1" t="s">
        <v>210</v>
      </c>
      <c r="G94" s="1" t="s">
        <v>120</v>
      </c>
      <c r="H94" s="1">
        <v>1</v>
      </c>
      <c r="I94" s="1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98DE-C09E-443C-8744-D33C573E89EF}">
  <dimension ref="F1:S252"/>
  <sheetViews>
    <sheetView workbookViewId="0">
      <selection sqref="A1:XFD1048576"/>
    </sheetView>
  </sheetViews>
  <sheetFormatPr defaultRowHeight="14.4" x14ac:dyDescent="0.3"/>
  <cols>
    <col min="6" max="6" width="12.44140625" bestFit="1" customWidth="1"/>
    <col min="7" max="7" width="9.44140625" bestFit="1" customWidth="1"/>
    <col min="8" max="8" width="8.77734375" bestFit="1" customWidth="1"/>
    <col min="9" max="9" width="12.33203125" bestFit="1" customWidth="1"/>
    <col min="10" max="10" width="12.77734375" bestFit="1" customWidth="1"/>
    <col min="11" max="11" width="11.21875" bestFit="1" customWidth="1"/>
    <col min="12" max="12" width="19" bestFit="1" customWidth="1"/>
    <col min="17" max="17" width="16.77734375" bestFit="1" customWidth="1"/>
    <col min="18" max="18" width="19.88671875" bestFit="1" customWidth="1"/>
    <col min="19" max="19" width="26.5546875" bestFit="1" customWidth="1"/>
  </cols>
  <sheetData>
    <row r="1" spans="6:19" x14ac:dyDescent="0.3">
      <c r="F1" t="s">
        <v>112</v>
      </c>
    </row>
    <row r="3" spans="6:19" x14ac:dyDescent="0.3">
      <c r="F3" t="s">
        <v>294</v>
      </c>
      <c r="G3" t="s">
        <v>295</v>
      </c>
      <c r="H3" t="s">
        <v>296</v>
      </c>
      <c r="I3" t="s">
        <v>19</v>
      </c>
      <c r="J3" t="s">
        <v>297</v>
      </c>
      <c r="K3" t="s">
        <v>5</v>
      </c>
      <c r="L3" t="s">
        <v>298</v>
      </c>
    </row>
    <row r="4" spans="6:19" ht="28.8" x14ac:dyDescent="0.3">
      <c r="F4" s="1" t="s">
        <v>212</v>
      </c>
      <c r="G4" s="1" t="s">
        <v>122</v>
      </c>
      <c r="H4" s="1" t="s">
        <v>293</v>
      </c>
      <c r="I4" s="1">
        <v>286526.95</v>
      </c>
      <c r="J4" s="1">
        <v>9532</v>
      </c>
      <c r="K4" s="1">
        <v>0</v>
      </c>
      <c r="L4" s="1">
        <v>21.15</v>
      </c>
    </row>
    <row r="5" spans="6:19" ht="28.8" x14ac:dyDescent="0.3">
      <c r="F5" s="1" t="s">
        <v>212</v>
      </c>
      <c r="G5" s="1" t="s">
        <v>121</v>
      </c>
      <c r="H5" s="1" t="s">
        <v>293</v>
      </c>
      <c r="I5" s="1">
        <v>251330.5</v>
      </c>
      <c r="J5" s="1">
        <v>9149</v>
      </c>
      <c r="K5" s="1">
        <v>0</v>
      </c>
      <c r="L5" s="1">
        <v>18.559999999999999</v>
      </c>
      <c r="Q5" s="5" t="s">
        <v>11</v>
      </c>
      <c r="R5" t="s">
        <v>116</v>
      </c>
      <c r="S5" t="s">
        <v>299</v>
      </c>
    </row>
    <row r="6" spans="6:19" ht="28.8" x14ac:dyDescent="0.3">
      <c r="F6" s="1" t="s">
        <v>212</v>
      </c>
      <c r="G6" s="1" t="s">
        <v>190</v>
      </c>
      <c r="H6" s="1" t="s">
        <v>293</v>
      </c>
      <c r="I6" s="1">
        <v>178188.79999999999</v>
      </c>
      <c r="J6" s="1">
        <v>4199</v>
      </c>
      <c r="K6" s="1">
        <v>0</v>
      </c>
      <c r="L6" s="1">
        <v>13.16</v>
      </c>
      <c r="Q6" s="6" t="s">
        <v>212</v>
      </c>
      <c r="R6" s="7">
        <v>1354458.59</v>
      </c>
      <c r="S6" s="7">
        <v>100.00999999999999</v>
      </c>
    </row>
    <row r="7" spans="6:19" ht="28.8" x14ac:dyDescent="0.3">
      <c r="F7" s="1" t="s">
        <v>212</v>
      </c>
      <c r="G7" s="1" t="s">
        <v>131</v>
      </c>
      <c r="H7" s="1" t="s">
        <v>293</v>
      </c>
      <c r="I7" s="1">
        <v>177099.1</v>
      </c>
      <c r="J7" s="1">
        <v>7906</v>
      </c>
      <c r="K7" s="1">
        <v>0</v>
      </c>
      <c r="L7" s="1">
        <v>13.08</v>
      </c>
      <c r="Q7" s="6" t="s">
        <v>214</v>
      </c>
      <c r="R7" s="7">
        <v>1230979.0799999987</v>
      </c>
      <c r="S7" s="7">
        <v>0</v>
      </c>
    </row>
    <row r="8" spans="6:19" x14ac:dyDescent="0.3">
      <c r="F8" s="1" t="s">
        <v>212</v>
      </c>
      <c r="G8" s="1" t="s">
        <v>120</v>
      </c>
      <c r="H8" s="1" t="s">
        <v>293</v>
      </c>
      <c r="I8" s="1">
        <v>141623.09</v>
      </c>
      <c r="J8" s="1">
        <v>7681</v>
      </c>
      <c r="K8" s="1">
        <v>0</v>
      </c>
      <c r="L8" s="1">
        <v>10.46</v>
      </c>
      <c r="Q8" s="6" t="s">
        <v>215</v>
      </c>
      <c r="R8" s="7">
        <v>1354458.59</v>
      </c>
      <c r="S8" s="7">
        <v>99.969999999999956</v>
      </c>
    </row>
    <row r="9" spans="6:19" ht="28.8" x14ac:dyDescent="0.3">
      <c r="F9" s="1" t="s">
        <v>212</v>
      </c>
      <c r="G9" s="1" t="s">
        <v>139</v>
      </c>
      <c r="H9" s="1" t="s">
        <v>293</v>
      </c>
      <c r="I9" s="1">
        <v>113694.75</v>
      </c>
      <c r="J9" s="1">
        <v>5298</v>
      </c>
      <c r="K9" s="1">
        <v>0</v>
      </c>
      <c r="L9" s="1">
        <v>8.39</v>
      </c>
      <c r="Q9" s="6" t="s">
        <v>13</v>
      </c>
      <c r="R9" s="7">
        <v>3939896.2599999988</v>
      </c>
      <c r="S9" s="7">
        <v>199.97999999999996</v>
      </c>
    </row>
    <row r="10" spans="6:19" x14ac:dyDescent="0.3">
      <c r="F10" s="1" t="s">
        <v>212</v>
      </c>
      <c r="G10" s="1" t="s">
        <v>213</v>
      </c>
      <c r="H10" s="1" t="s">
        <v>293</v>
      </c>
      <c r="I10" s="1">
        <v>105268.6</v>
      </c>
      <c r="J10" s="1">
        <v>2990</v>
      </c>
      <c r="K10" s="1">
        <v>0</v>
      </c>
      <c r="L10" s="1">
        <v>7.77</v>
      </c>
    </row>
    <row r="11" spans="6:19" ht="28.8" x14ac:dyDescent="0.3">
      <c r="F11" s="1" t="s">
        <v>212</v>
      </c>
      <c r="G11" s="1" t="s">
        <v>169</v>
      </c>
      <c r="H11" s="1" t="s">
        <v>293</v>
      </c>
      <c r="I11" s="1">
        <v>100726.8</v>
      </c>
      <c r="J11" s="1">
        <v>4562</v>
      </c>
      <c r="K11" s="1">
        <v>0</v>
      </c>
      <c r="L11" s="1">
        <v>7.44</v>
      </c>
    </row>
    <row r="12" spans="6:19" ht="28.8" x14ac:dyDescent="0.3">
      <c r="F12" s="1" t="s">
        <v>214</v>
      </c>
      <c r="G12" s="1" t="s">
        <v>122</v>
      </c>
      <c r="H12" s="1" t="s">
        <v>22</v>
      </c>
      <c r="I12" s="1">
        <v>56011.6</v>
      </c>
      <c r="J12" s="1">
        <v>1602</v>
      </c>
      <c r="K12" s="1">
        <v>48</v>
      </c>
      <c r="L12" s="1">
        <v>0</v>
      </c>
    </row>
    <row r="13" spans="6:19" ht="28.8" x14ac:dyDescent="0.3">
      <c r="F13" s="1" t="s">
        <v>214</v>
      </c>
      <c r="G13" s="1" t="s">
        <v>122</v>
      </c>
      <c r="H13" s="1" t="s">
        <v>26</v>
      </c>
      <c r="I13" s="1">
        <v>52956.15</v>
      </c>
      <c r="J13" s="1">
        <v>1360</v>
      </c>
      <c r="K13" s="1">
        <v>46</v>
      </c>
      <c r="L13" s="1">
        <v>0</v>
      </c>
    </row>
    <row r="14" spans="6:19" ht="28.8" x14ac:dyDescent="0.3">
      <c r="F14" s="1" t="s">
        <v>214</v>
      </c>
      <c r="G14" s="1" t="s">
        <v>121</v>
      </c>
      <c r="H14" s="1" t="s">
        <v>22</v>
      </c>
      <c r="I14" s="1">
        <v>43834.9</v>
      </c>
      <c r="J14" s="1">
        <v>1519</v>
      </c>
      <c r="K14" s="1">
        <v>42</v>
      </c>
      <c r="L14" s="1">
        <v>0</v>
      </c>
    </row>
    <row r="15" spans="6:19" ht="28.8" x14ac:dyDescent="0.3">
      <c r="F15" s="1" t="s">
        <v>214</v>
      </c>
      <c r="G15" s="1" t="s">
        <v>131</v>
      </c>
      <c r="H15" s="1" t="s">
        <v>26</v>
      </c>
      <c r="I15" s="1">
        <v>37211.9</v>
      </c>
      <c r="J15" s="1">
        <v>1464</v>
      </c>
      <c r="K15" s="1">
        <v>49</v>
      </c>
      <c r="L15" s="1">
        <v>0</v>
      </c>
    </row>
    <row r="16" spans="6:19" ht="28.8" x14ac:dyDescent="0.3">
      <c r="F16" s="1" t="s">
        <v>214</v>
      </c>
      <c r="G16" s="1" t="s">
        <v>122</v>
      </c>
      <c r="H16" s="1" t="s">
        <v>31</v>
      </c>
      <c r="I16" s="1">
        <v>37174.5</v>
      </c>
      <c r="J16" s="1">
        <v>892</v>
      </c>
      <c r="K16" s="1">
        <v>34</v>
      </c>
      <c r="L16" s="1">
        <v>0</v>
      </c>
    </row>
    <row r="17" spans="6:12" ht="28.8" x14ac:dyDescent="0.3">
      <c r="F17" s="1" t="s">
        <v>214</v>
      </c>
      <c r="G17" s="1" t="s">
        <v>190</v>
      </c>
      <c r="H17" s="1" t="s">
        <v>26</v>
      </c>
      <c r="I17" s="1">
        <v>33999.660000000003</v>
      </c>
      <c r="J17" s="1">
        <v>989</v>
      </c>
      <c r="K17" s="1">
        <v>30</v>
      </c>
      <c r="L17" s="1">
        <v>0</v>
      </c>
    </row>
    <row r="18" spans="6:12" ht="28.8" x14ac:dyDescent="0.3">
      <c r="F18" s="1" t="s">
        <v>214</v>
      </c>
      <c r="G18" s="1" t="s">
        <v>131</v>
      </c>
      <c r="H18" s="1" t="s">
        <v>22</v>
      </c>
      <c r="I18" s="1">
        <v>33603.449999999997</v>
      </c>
      <c r="J18" s="1">
        <v>1436</v>
      </c>
      <c r="K18" s="1">
        <v>40</v>
      </c>
      <c r="L18" s="1">
        <v>0</v>
      </c>
    </row>
    <row r="19" spans="6:12" ht="28.8" x14ac:dyDescent="0.3">
      <c r="F19" s="1" t="s">
        <v>214</v>
      </c>
      <c r="G19" s="1" t="s">
        <v>121</v>
      </c>
      <c r="H19" s="1" t="s">
        <v>26</v>
      </c>
      <c r="I19" s="1">
        <v>32609.3</v>
      </c>
      <c r="J19" s="1">
        <v>1373</v>
      </c>
      <c r="K19" s="1">
        <v>39</v>
      </c>
      <c r="L19" s="1">
        <v>0</v>
      </c>
    </row>
    <row r="20" spans="6:12" ht="28.8" x14ac:dyDescent="0.3">
      <c r="F20" s="1" t="s">
        <v>214</v>
      </c>
      <c r="G20" s="1" t="s">
        <v>122</v>
      </c>
      <c r="H20" s="1" t="s">
        <v>24</v>
      </c>
      <c r="I20" s="1">
        <v>24590.05</v>
      </c>
      <c r="J20" s="1">
        <v>854</v>
      </c>
      <c r="K20" s="1">
        <v>17</v>
      </c>
      <c r="L20" s="1">
        <v>0</v>
      </c>
    </row>
    <row r="21" spans="6:12" ht="28.8" x14ac:dyDescent="0.3">
      <c r="F21" s="1" t="s">
        <v>214</v>
      </c>
      <c r="G21" s="1" t="s">
        <v>190</v>
      </c>
      <c r="H21" s="1" t="s">
        <v>28</v>
      </c>
      <c r="I21" s="1">
        <v>24040.9</v>
      </c>
      <c r="J21" s="1">
        <v>223</v>
      </c>
      <c r="K21" s="1">
        <v>5</v>
      </c>
      <c r="L21" s="1">
        <v>0</v>
      </c>
    </row>
    <row r="22" spans="6:12" ht="28.8" x14ac:dyDescent="0.3">
      <c r="F22" s="1" t="s">
        <v>214</v>
      </c>
      <c r="G22" s="1" t="s">
        <v>121</v>
      </c>
      <c r="H22" s="1" t="s">
        <v>24</v>
      </c>
      <c r="I22" s="1">
        <v>23201.4</v>
      </c>
      <c r="J22" s="1">
        <v>876</v>
      </c>
      <c r="K22" s="1">
        <v>20</v>
      </c>
      <c r="L22" s="1">
        <v>0</v>
      </c>
    </row>
    <row r="23" spans="6:12" ht="28.8" x14ac:dyDescent="0.3">
      <c r="F23" s="1" t="s">
        <v>214</v>
      </c>
      <c r="G23" s="1" t="s">
        <v>120</v>
      </c>
      <c r="H23" s="1" t="s">
        <v>26</v>
      </c>
      <c r="I23" s="1">
        <v>22989.62</v>
      </c>
      <c r="J23" s="1">
        <v>1374</v>
      </c>
      <c r="K23" s="1">
        <v>37</v>
      </c>
      <c r="L23" s="1">
        <v>0</v>
      </c>
    </row>
    <row r="24" spans="6:12" ht="28.8" x14ac:dyDescent="0.3">
      <c r="F24" s="1" t="s">
        <v>214</v>
      </c>
      <c r="G24" s="1" t="s">
        <v>120</v>
      </c>
      <c r="H24" s="1" t="s">
        <v>22</v>
      </c>
      <c r="I24" s="1">
        <v>22751.25</v>
      </c>
      <c r="J24" s="1">
        <v>1319</v>
      </c>
      <c r="K24" s="1">
        <v>39</v>
      </c>
      <c r="L24" s="1">
        <v>0</v>
      </c>
    </row>
    <row r="25" spans="6:12" ht="28.8" x14ac:dyDescent="0.3">
      <c r="F25" s="1" t="s">
        <v>214</v>
      </c>
      <c r="G25" s="1" t="s">
        <v>190</v>
      </c>
      <c r="H25" s="1" t="s">
        <v>22</v>
      </c>
      <c r="I25" s="1">
        <v>21767.439999999999</v>
      </c>
      <c r="J25" s="1">
        <v>534</v>
      </c>
      <c r="K25" s="1">
        <v>22</v>
      </c>
      <c r="L25" s="1">
        <v>0</v>
      </c>
    </row>
    <row r="26" spans="6:12" ht="28.8" x14ac:dyDescent="0.3">
      <c r="F26" s="1" t="s">
        <v>214</v>
      </c>
      <c r="G26" s="1" t="s">
        <v>169</v>
      </c>
      <c r="H26" s="1" t="s">
        <v>26</v>
      </c>
      <c r="I26" s="1">
        <v>19457.8</v>
      </c>
      <c r="J26" s="1">
        <v>699</v>
      </c>
      <c r="K26" s="1">
        <v>27</v>
      </c>
      <c r="L26" s="1">
        <v>0</v>
      </c>
    </row>
    <row r="27" spans="6:12" ht="28.8" x14ac:dyDescent="0.3">
      <c r="F27" s="1" t="s">
        <v>214</v>
      </c>
      <c r="G27" s="1" t="s">
        <v>121</v>
      </c>
      <c r="H27" s="1" t="s">
        <v>50</v>
      </c>
      <c r="I27" s="1">
        <v>18683.7</v>
      </c>
      <c r="J27" s="1">
        <v>555</v>
      </c>
      <c r="K27" s="1">
        <v>18</v>
      </c>
      <c r="L27" s="1">
        <v>0</v>
      </c>
    </row>
    <row r="28" spans="6:12" ht="28.8" x14ac:dyDescent="0.3">
      <c r="F28" s="1" t="s">
        <v>214</v>
      </c>
      <c r="G28" s="1" t="s">
        <v>139</v>
      </c>
      <c r="H28" s="1" t="s">
        <v>22</v>
      </c>
      <c r="I28" s="1">
        <v>17281.099999999999</v>
      </c>
      <c r="J28" s="1">
        <v>865</v>
      </c>
      <c r="K28" s="1">
        <v>29</v>
      </c>
      <c r="L28" s="1">
        <v>0</v>
      </c>
    </row>
    <row r="29" spans="6:12" ht="28.8" x14ac:dyDescent="0.3">
      <c r="F29" s="1" t="s">
        <v>214</v>
      </c>
      <c r="G29" s="1" t="s">
        <v>139</v>
      </c>
      <c r="H29" s="1" t="s">
        <v>24</v>
      </c>
      <c r="I29" s="1">
        <v>16552.400000000001</v>
      </c>
      <c r="J29" s="1">
        <v>695</v>
      </c>
      <c r="K29" s="1">
        <v>14</v>
      </c>
      <c r="L29" s="1">
        <v>0</v>
      </c>
    </row>
    <row r="30" spans="6:12" ht="28.8" x14ac:dyDescent="0.3">
      <c r="F30" s="1" t="s">
        <v>214</v>
      </c>
      <c r="G30" s="1" t="s">
        <v>139</v>
      </c>
      <c r="H30" s="1" t="s">
        <v>26</v>
      </c>
      <c r="I30" s="1">
        <v>16446.95</v>
      </c>
      <c r="J30" s="1">
        <v>722</v>
      </c>
      <c r="K30" s="1">
        <v>21</v>
      </c>
      <c r="L30" s="1">
        <v>0</v>
      </c>
    </row>
    <row r="31" spans="6:12" ht="28.8" x14ac:dyDescent="0.3">
      <c r="F31" s="1" t="s">
        <v>214</v>
      </c>
      <c r="G31" s="1" t="s">
        <v>120</v>
      </c>
      <c r="H31" s="1" t="s">
        <v>45</v>
      </c>
      <c r="I31" s="1">
        <v>15739.4</v>
      </c>
      <c r="J31" s="1">
        <v>551</v>
      </c>
      <c r="K31" s="1">
        <v>30</v>
      </c>
      <c r="L31" s="1">
        <v>0</v>
      </c>
    </row>
    <row r="32" spans="6:12" ht="28.8" x14ac:dyDescent="0.3">
      <c r="F32" s="1" t="s">
        <v>214</v>
      </c>
      <c r="G32" s="1" t="s">
        <v>213</v>
      </c>
      <c r="H32" s="1" t="s">
        <v>22</v>
      </c>
      <c r="I32" s="1">
        <v>14933.9</v>
      </c>
      <c r="J32" s="1">
        <v>444</v>
      </c>
      <c r="K32" s="1">
        <v>18</v>
      </c>
      <c r="L32" s="1">
        <v>0</v>
      </c>
    </row>
    <row r="33" spans="6:12" ht="28.8" x14ac:dyDescent="0.3">
      <c r="F33" s="1" t="s">
        <v>214</v>
      </c>
      <c r="G33" s="1" t="s">
        <v>169</v>
      </c>
      <c r="H33" s="1" t="s">
        <v>22</v>
      </c>
      <c r="I33" s="1">
        <v>14603.15</v>
      </c>
      <c r="J33" s="1">
        <v>800</v>
      </c>
      <c r="K33" s="1">
        <v>23</v>
      </c>
      <c r="L33" s="1">
        <v>0</v>
      </c>
    </row>
    <row r="34" spans="6:12" ht="28.8" x14ac:dyDescent="0.3">
      <c r="F34" s="1" t="s">
        <v>214</v>
      </c>
      <c r="G34" s="1" t="s">
        <v>121</v>
      </c>
      <c r="H34" s="1" t="s">
        <v>31</v>
      </c>
      <c r="I34" s="1">
        <v>14472.5</v>
      </c>
      <c r="J34" s="1">
        <v>614</v>
      </c>
      <c r="K34" s="1">
        <v>25</v>
      </c>
      <c r="L34" s="1">
        <v>0</v>
      </c>
    </row>
    <row r="35" spans="6:12" ht="28.8" x14ac:dyDescent="0.3">
      <c r="F35" s="1" t="s">
        <v>214</v>
      </c>
      <c r="G35" s="1" t="s">
        <v>131</v>
      </c>
      <c r="H35" s="1" t="s">
        <v>24</v>
      </c>
      <c r="I35" s="1">
        <v>14295.85</v>
      </c>
      <c r="J35" s="1">
        <v>553</v>
      </c>
      <c r="K35" s="1">
        <v>11</v>
      </c>
      <c r="L35" s="1">
        <v>0</v>
      </c>
    </row>
    <row r="36" spans="6:12" ht="28.8" x14ac:dyDescent="0.3">
      <c r="F36" s="1" t="s">
        <v>214</v>
      </c>
      <c r="G36" s="1" t="s">
        <v>122</v>
      </c>
      <c r="H36" s="1" t="s">
        <v>36</v>
      </c>
      <c r="I36" s="1">
        <v>13694.7</v>
      </c>
      <c r="J36" s="1">
        <v>273</v>
      </c>
      <c r="K36" s="1">
        <v>9</v>
      </c>
      <c r="L36" s="1">
        <v>0</v>
      </c>
    </row>
    <row r="37" spans="6:12" ht="28.8" x14ac:dyDescent="0.3">
      <c r="F37" s="1" t="s">
        <v>214</v>
      </c>
      <c r="G37" s="1" t="s">
        <v>122</v>
      </c>
      <c r="H37" s="1" t="s">
        <v>45</v>
      </c>
      <c r="I37" s="1">
        <v>13625</v>
      </c>
      <c r="J37" s="1">
        <v>608</v>
      </c>
      <c r="K37" s="1">
        <v>31</v>
      </c>
      <c r="L37" s="1">
        <v>0</v>
      </c>
    </row>
    <row r="38" spans="6:12" ht="28.8" x14ac:dyDescent="0.3">
      <c r="F38" s="1" t="s">
        <v>214</v>
      </c>
      <c r="G38" s="1" t="s">
        <v>120</v>
      </c>
      <c r="H38" s="1" t="s">
        <v>31</v>
      </c>
      <c r="I38" s="1">
        <v>13158.48</v>
      </c>
      <c r="J38" s="1">
        <v>605</v>
      </c>
      <c r="K38" s="1">
        <v>31</v>
      </c>
      <c r="L38" s="1">
        <v>0</v>
      </c>
    </row>
    <row r="39" spans="6:12" ht="28.8" x14ac:dyDescent="0.3">
      <c r="F39" s="1" t="s">
        <v>214</v>
      </c>
      <c r="G39" s="1" t="s">
        <v>131</v>
      </c>
      <c r="H39" s="1" t="s">
        <v>45</v>
      </c>
      <c r="I39" s="1">
        <v>13123.85</v>
      </c>
      <c r="J39" s="1">
        <v>556</v>
      </c>
      <c r="K39" s="1">
        <v>25</v>
      </c>
      <c r="L39" s="1">
        <v>0</v>
      </c>
    </row>
    <row r="40" spans="6:12" ht="28.8" x14ac:dyDescent="0.3">
      <c r="F40" s="1" t="s">
        <v>214</v>
      </c>
      <c r="G40" s="1" t="s">
        <v>122</v>
      </c>
      <c r="H40" s="1" t="s">
        <v>38</v>
      </c>
      <c r="I40" s="1">
        <v>12507.05</v>
      </c>
      <c r="J40" s="1">
        <v>499</v>
      </c>
      <c r="K40" s="1">
        <v>22</v>
      </c>
      <c r="L40" s="1">
        <v>0</v>
      </c>
    </row>
    <row r="41" spans="6:12" ht="28.8" x14ac:dyDescent="0.3">
      <c r="F41" s="1" t="s">
        <v>214</v>
      </c>
      <c r="G41" s="1" t="s">
        <v>122</v>
      </c>
      <c r="H41" s="1" t="s">
        <v>56</v>
      </c>
      <c r="I41" s="1">
        <v>12025.7</v>
      </c>
      <c r="J41" s="1">
        <v>195</v>
      </c>
      <c r="K41" s="1">
        <v>7</v>
      </c>
      <c r="L41" s="1">
        <v>0</v>
      </c>
    </row>
    <row r="42" spans="6:12" ht="28.8" x14ac:dyDescent="0.3">
      <c r="F42" s="1" t="s">
        <v>214</v>
      </c>
      <c r="G42" s="1" t="s">
        <v>190</v>
      </c>
      <c r="H42" s="1" t="s">
        <v>24</v>
      </c>
      <c r="I42" s="1">
        <v>12001.48</v>
      </c>
      <c r="J42" s="1">
        <v>362</v>
      </c>
      <c r="K42" s="1">
        <v>9</v>
      </c>
      <c r="L42" s="1">
        <v>0</v>
      </c>
    </row>
    <row r="43" spans="6:12" ht="28.8" x14ac:dyDescent="0.3">
      <c r="F43" s="1" t="s">
        <v>214</v>
      </c>
      <c r="G43" s="1" t="s">
        <v>131</v>
      </c>
      <c r="H43" s="1" t="s">
        <v>31</v>
      </c>
      <c r="I43" s="1">
        <v>11842.73</v>
      </c>
      <c r="J43" s="1">
        <v>687</v>
      </c>
      <c r="K43" s="1">
        <v>29</v>
      </c>
      <c r="L43" s="1">
        <v>0</v>
      </c>
    </row>
    <row r="44" spans="6:12" ht="28.8" x14ac:dyDescent="0.3">
      <c r="F44" s="1" t="s">
        <v>214</v>
      </c>
      <c r="G44" s="1" t="s">
        <v>121</v>
      </c>
      <c r="H44" s="1" t="s">
        <v>33</v>
      </c>
      <c r="I44" s="1">
        <v>11516.2</v>
      </c>
      <c r="J44" s="1">
        <v>534</v>
      </c>
      <c r="K44" s="1">
        <v>20</v>
      </c>
      <c r="L44" s="1">
        <v>0</v>
      </c>
    </row>
    <row r="45" spans="6:12" ht="28.8" x14ac:dyDescent="0.3">
      <c r="F45" s="1" t="s">
        <v>214</v>
      </c>
      <c r="G45" s="1" t="s">
        <v>190</v>
      </c>
      <c r="H45" s="1" t="s">
        <v>45</v>
      </c>
      <c r="I45" s="1">
        <v>11142.96</v>
      </c>
      <c r="J45" s="1">
        <v>243</v>
      </c>
      <c r="K45" s="1">
        <v>13</v>
      </c>
      <c r="L45" s="1">
        <v>0</v>
      </c>
    </row>
    <row r="46" spans="6:12" ht="28.8" x14ac:dyDescent="0.3">
      <c r="F46" s="1" t="s">
        <v>214</v>
      </c>
      <c r="G46" s="1" t="s">
        <v>121</v>
      </c>
      <c r="H46" s="1" t="s">
        <v>28</v>
      </c>
      <c r="I46" s="1">
        <v>11093.4</v>
      </c>
      <c r="J46" s="1">
        <v>387</v>
      </c>
      <c r="K46" s="1">
        <v>10</v>
      </c>
      <c r="L46" s="1">
        <v>0</v>
      </c>
    </row>
    <row r="47" spans="6:12" ht="28.8" x14ac:dyDescent="0.3">
      <c r="F47" s="1" t="s">
        <v>214</v>
      </c>
      <c r="G47" s="1" t="s">
        <v>139</v>
      </c>
      <c r="H47" s="1" t="s">
        <v>31</v>
      </c>
      <c r="I47" s="1">
        <v>11084.25</v>
      </c>
      <c r="J47" s="1">
        <v>511</v>
      </c>
      <c r="K47" s="1">
        <v>20</v>
      </c>
      <c r="L47" s="1">
        <v>0</v>
      </c>
    </row>
    <row r="48" spans="6:12" ht="28.8" x14ac:dyDescent="0.3">
      <c r="F48" s="1" t="s">
        <v>214</v>
      </c>
      <c r="G48" s="1" t="s">
        <v>213</v>
      </c>
      <c r="H48" s="1" t="s">
        <v>24</v>
      </c>
      <c r="I48" s="1">
        <v>10563.95</v>
      </c>
      <c r="J48" s="1">
        <v>318</v>
      </c>
      <c r="K48" s="1">
        <v>8</v>
      </c>
      <c r="L48" s="1">
        <v>0</v>
      </c>
    </row>
    <row r="49" spans="6:12" ht="28.8" x14ac:dyDescent="0.3">
      <c r="F49" s="1" t="s">
        <v>214</v>
      </c>
      <c r="G49" s="1" t="s">
        <v>213</v>
      </c>
      <c r="H49" s="1" t="s">
        <v>26</v>
      </c>
      <c r="I49" s="1">
        <v>10412.65</v>
      </c>
      <c r="J49" s="1">
        <v>319</v>
      </c>
      <c r="K49" s="1">
        <v>15</v>
      </c>
      <c r="L49" s="1">
        <v>0</v>
      </c>
    </row>
    <row r="50" spans="6:12" ht="28.8" x14ac:dyDescent="0.3">
      <c r="F50" s="1" t="s">
        <v>214</v>
      </c>
      <c r="G50" s="1" t="s">
        <v>121</v>
      </c>
      <c r="H50" s="1" t="s">
        <v>36</v>
      </c>
      <c r="I50" s="1">
        <v>10064.5</v>
      </c>
      <c r="J50" s="1">
        <v>366</v>
      </c>
      <c r="K50" s="1">
        <v>9</v>
      </c>
      <c r="L50" s="1">
        <v>0</v>
      </c>
    </row>
    <row r="51" spans="6:12" ht="28.8" x14ac:dyDescent="0.3">
      <c r="F51" s="1" t="s">
        <v>214</v>
      </c>
      <c r="G51" s="1" t="s">
        <v>169</v>
      </c>
      <c r="H51" s="1" t="s">
        <v>24</v>
      </c>
      <c r="I51" s="1">
        <v>9700.5</v>
      </c>
      <c r="J51" s="1">
        <v>425</v>
      </c>
      <c r="K51" s="1">
        <v>10</v>
      </c>
      <c r="L51" s="1">
        <v>0</v>
      </c>
    </row>
    <row r="52" spans="6:12" ht="28.8" x14ac:dyDescent="0.3">
      <c r="F52" s="1" t="s">
        <v>214</v>
      </c>
      <c r="G52" s="1" t="s">
        <v>190</v>
      </c>
      <c r="H52" s="1" t="s">
        <v>38</v>
      </c>
      <c r="I52" s="1">
        <v>9625.9500000000007</v>
      </c>
      <c r="J52" s="1">
        <v>174</v>
      </c>
      <c r="K52" s="1">
        <v>10</v>
      </c>
      <c r="L52" s="1">
        <v>0</v>
      </c>
    </row>
    <row r="53" spans="6:12" ht="28.8" x14ac:dyDescent="0.3">
      <c r="F53" s="1" t="s">
        <v>214</v>
      </c>
      <c r="G53" s="1" t="s">
        <v>120</v>
      </c>
      <c r="H53" s="1" t="s">
        <v>50</v>
      </c>
      <c r="I53" s="1">
        <v>9508.2000000000007</v>
      </c>
      <c r="J53" s="1">
        <v>550</v>
      </c>
      <c r="K53" s="1">
        <v>19</v>
      </c>
      <c r="L53" s="1">
        <v>0</v>
      </c>
    </row>
    <row r="54" spans="6:12" ht="28.8" x14ac:dyDescent="0.3">
      <c r="F54" s="1" t="s">
        <v>214</v>
      </c>
      <c r="G54" s="1" t="s">
        <v>213</v>
      </c>
      <c r="H54" s="1" t="s">
        <v>38</v>
      </c>
      <c r="I54" s="1">
        <v>9116</v>
      </c>
      <c r="J54" s="1">
        <v>214</v>
      </c>
      <c r="K54" s="1">
        <v>6</v>
      </c>
      <c r="L54" s="1">
        <v>0</v>
      </c>
    </row>
    <row r="55" spans="6:12" ht="28.8" x14ac:dyDescent="0.3">
      <c r="F55" s="1" t="s">
        <v>214</v>
      </c>
      <c r="G55" s="1" t="s">
        <v>121</v>
      </c>
      <c r="H55" s="1" t="s">
        <v>45</v>
      </c>
      <c r="I55" s="1">
        <v>9108.9</v>
      </c>
      <c r="J55" s="1">
        <v>398</v>
      </c>
      <c r="K55" s="1">
        <v>20</v>
      </c>
      <c r="L55" s="1">
        <v>0</v>
      </c>
    </row>
    <row r="56" spans="6:12" ht="28.8" x14ac:dyDescent="0.3">
      <c r="F56" s="1" t="s">
        <v>214</v>
      </c>
      <c r="G56" s="1" t="s">
        <v>131</v>
      </c>
      <c r="H56" s="1" t="s">
        <v>33</v>
      </c>
      <c r="I56" s="1">
        <v>8848.5</v>
      </c>
      <c r="J56" s="1">
        <v>306</v>
      </c>
      <c r="K56" s="1">
        <v>15</v>
      </c>
      <c r="L56" s="1">
        <v>0</v>
      </c>
    </row>
    <row r="57" spans="6:12" ht="28.8" x14ac:dyDescent="0.3">
      <c r="F57" s="1" t="s">
        <v>214</v>
      </c>
      <c r="G57" s="1" t="s">
        <v>213</v>
      </c>
      <c r="H57" s="1" t="s">
        <v>45</v>
      </c>
      <c r="I57" s="1">
        <v>8304.7999999999993</v>
      </c>
      <c r="J57" s="1">
        <v>239</v>
      </c>
      <c r="K57" s="1">
        <v>13</v>
      </c>
      <c r="L57" s="1">
        <v>0</v>
      </c>
    </row>
    <row r="58" spans="6:12" ht="28.8" x14ac:dyDescent="0.3">
      <c r="F58" s="1" t="s">
        <v>214</v>
      </c>
      <c r="G58" s="1" t="s">
        <v>121</v>
      </c>
      <c r="H58" s="1" t="s">
        <v>48</v>
      </c>
      <c r="I58" s="1">
        <v>8180</v>
      </c>
      <c r="J58" s="1">
        <v>265</v>
      </c>
      <c r="K58" s="1">
        <v>7</v>
      </c>
      <c r="L58" s="1">
        <v>0</v>
      </c>
    </row>
    <row r="59" spans="6:12" ht="28.8" x14ac:dyDescent="0.3">
      <c r="F59" s="1" t="s">
        <v>214</v>
      </c>
      <c r="G59" s="1" t="s">
        <v>120</v>
      </c>
      <c r="H59" s="1" t="s">
        <v>24</v>
      </c>
      <c r="I59" s="1">
        <v>8060.75</v>
      </c>
      <c r="J59" s="1">
        <v>458</v>
      </c>
      <c r="K59" s="1">
        <v>9</v>
      </c>
      <c r="L59" s="1">
        <v>0</v>
      </c>
    </row>
    <row r="60" spans="6:12" ht="28.8" x14ac:dyDescent="0.3">
      <c r="F60" s="1" t="s">
        <v>214</v>
      </c>
      <c r="G60" s="1" t="s">
        <v>190</v>
      </c>
      <c r="H60" s="1" t="s">
        <v>71</v>
      </c>
      <c r="I60" s="1">
        <v>7919.1</v>
      </c>
      <c r="J60" s="1">
        <v>129</v>
      </c>
      <c r="K60" s="1">
        <v>7</v>
      </c>
      <c r="L60" s="1">
        <v>0</v>
      </c>
    </row>
    <row r="61" spans="6:12" ht="28.8" x14ac:dyDescent="0.3">
      <c r="F61" s="1" t="s">
        <v>214</v>
      </c>
      <c r="G61" s="1" t="s">
        <v>131</v>
      </c>
      <c r="H61" s="1" t="s">
        <v>36</v>
      </c>
      <c r="I61" s="1">
        <v>7742.1</v>
      </c>
      <c r="J61" s="1">
        <v>355</v>
      </c>
      <c r="K61" s="1">
        <v>13</v>
      </c>
      <c r="L61" s="1">
        <v>0</v>
      </c>
    </row>
    <row r="62" spans="6:12" ht="28.8" x14ac:dyDescent="0.3">
      <c r="F62" s="1" t="s">
        <v>214</v>
      </c>
      <c r="G62" s="1" t="s">
        <v>131</v>
      </c>
      <c r="H62" s="1" t="s">
        <v>48</v>
      </c>
      <c r="I62" s="1">
        <v>7711.18</v>
      </c>
      <c r="J62" s="1">
        <v>270</v>
      </c>
      <c r="K62" s="1">
        <v>8</v>
      </c>
      <c r="L62" s="1">
        <v>0</v>
      </c>
    </row>
    <row r="63" spans="6:12" ht="28.8" x14ac:dyDescent="0.3">
      <c r="F63" s="1" t="s">
        <v>214</v>
      </c>
      <c r="G63" s="1" t="s">
        <v>122</v>
      </c>
      <c r="H63" s="1" t="s">
        <v>43</v>
      </c>
      <c r="I63" s="1">
        <v>7647.5</v>
      </c>
      <c r="J63" s="1">
        <v>255</v>
      </c>
      <c r="K63" s="1">
        <v>13</v>
      </c>
      <c r="L63" s="1">
        <v>0</v>
      </c>
    </row>
    <row r="64" spans="6:12" ht="28.8" x14ac:dyDescent="0.3">
      <c r="F64" s="1" t="s">
        <v>214</v>
      </c>
      <c r="G64" s="1" t="s">
        <v>190</v>
      </c>
      <c r="H64" s="1" t="s">
        <v>31</v>
      </c>
      <c r="I64" s="1">
        <v>7540.12</v>
      </c>
      <c r="J64" s="1">
        <v>211</v>
      </c>
      <c r="K64" s="1">
        <v>12</v>
      </c>
      <c r="L64" s="1">
        <v>0</v>
      </c>
    </row>
    <row r="65" spans="6:12" ht="28.8" x14ac:dyDescent="0.3">
      <c r="F65" s="1" t="s">
        <v>214</v>
      </c>
      <c r="G65" s="1" t="s">
        <v>131</v>
      </c>
      <c r="H65" s="1" t="s">
        <v>50</v>
      </c>
      <c r="I65" s="1">
        <v>7324.93</v>
      </c>
      <c r="J65" s="1">
        <v>429</v>
      </c>
      <c r="K65" s="1">
        <v>15</v>
      </c>
      <c r="L65" s="1">
        <v>0</v>
      </c>
    </row>
    <row r="66" spans="6:12" ht="28.8" x14ac:dyDescent="0.3">
      <c r="F66" s="1" t="s">
        <v>214</v>
      </c>
      <c r="G66" s="1" t="s">
        <v>120</v>
      </c>
      <c r="H66" s="1" t="s">
        <v>28</v>
      </c>
      <c r="I66" s="1">
        <v>6916.39</v>
      </c>
      <c r="J66" s="1">
        <v>360</v>
      </c>
      <c r="K66" s="1">
        <v>9</v>
      </c>
      <c r="L66" s="1">
        <v>0</v>
      </c>
    </row>
    <row r="67" spans="6:12" ht="28.8" x14ac:dyDescent="0.3">
      <c r="F67" s="1" t="s">
        <v>214</v>
      </c>
      <c r="G67" s="1" t="s">
        <v>120</v>
      </c>
      <c r="H67" s="1" t="s">
        <v>38</v>
      </c>
      <c r="I67" s="1">
        <v>6893.55</v>
      </c>
      <c r="J67" s="1">
        <v>439</v>
      </c>
      <c r="K67" s="1">
        <v>15</v>
      </c>
      <c r="L67" s="1">
        <v>0</v>
      </c>
    </row>
    <row r="68" spans="6:12" ht="28.8" x14ac:dyDescent="0.3">
      <c r="F68" s="1" t="s">
        <v>214</v>
      </c>
      <c r="G68" s="1" t="s">
        <v>213</v>
      </c>
      <c r="H68" s="1" t="s">
        <v>33</v>
      </c>
      <c r="I68" s="1">
        <v>6822.8</v>
      </c>
      <c r="J68" s="1">
        <v>185</v>
      </c>
      <c r="K68" s="1">
        <v>8</v>
      </c>
      <c r="L68" s="1">
        <v>0</v>
      </c>
    </row>
    <row r="69" spans="6:12" ht="28.8" x14ac:dyDescent="0.3">
      <c r="F69" s="1" t="s">
        <v>214</v>
      </c>
      <c r="G69" s="1" t="s">
        <v>122</v>
      </c>
      <c r="H69" s="1" t="s">
        <v>50</v>
      </c>
      <c r="I69" s="1">
        <v>6668.6</v>
      </c>
      <c r="J69" s="1">
        <v>494</v>
      </c>
      <c r="K69" s="1">
        <v>18</v>
      </c>
      <c r="L69" s="1">
        <v>0</v>
      </c>
    </row>
    <row r="70" spans="6:12" ht="28.8" x14ac:dyDescent="0.3">
      <c r="F70" s="1" t="s">
        <v>214</v>
      </c>
      <c r="G70" s="1" t="s">
        <v>139</v>
      </c>
      <c r="H70" s="1" t="s">
        <v>45</v>
      </c>
      <c r="I70" s="1">
        <v>6648.4</v>
      </c>
      <c r="J70" s="1">
        <v>267</v>
      </c>
      <c r="K70" s="1">
        <v>11</v>
      </c>
      <c r="L70" s="1">
        <v>0</v>
      </c>
    </row>
    <row r="71" spans="6:12" ht="28.8" x14ac:dyDescent="0.3">
      <c r="F71" s="1" t="s">
        <v>214</v>
      </c>
      <c r="G71" s="1" t="s">
        <v>169</v>
      </c>
      <c r="H71" s="1" t="s">
        <v>31</v>
      </c>
      <c r="I71" s="1">
        <v>6638</v>
      </c>
      <c r="J71" s="1">
        <v>315</v>
      </c>
      <c r="K71" s="1">
        <v>14</v>
      </c>
      <c r="L71" s="1">
        <v>0</v>
      </c>
    </row>
    <row r="72" spans="6:12" ht="28.8" x14ac:dyDescent="0.3">
      <c r="F72" s="1" t="s">
        <v>214</v>
      </c>
      <c r="G72" s="1" t="s">
        <v>121</v>
      </c>
      <c r="H72" s="1" t="s">
        <v>38</v>
      </c>
      <c r="I72" s="1">
        <v>6585.2</v>
      </c>
      <c r="J72" s="1">
        <v>215</v>
      </c>
      <c r="K72" s="1">
        <v>11</v>
      </c>
      <c r="L72" s="1">
        <v>0</v>
      </c>
    </row>
    <row r="73" spans="6:12" ht="28.8" x14ac:dyDescent="0.3">
      <c r="F73" s="1" t="s">
        <v>214</v>
      </c>
      <c r="G73" s="1" t="s">
        <v>169</v>
      </c>
      <c r="H73" s="1" t="s">
        <v>45</v>
      </c>
      <c r="I73" s="1">
        <v>6493.45</v>
      </c>
      <c r="J73" s="1">
        <v>322</v>
      </c>
      <c r="K73" s="1">
        <v>18</v>
      </c>
      <c r="L73" s="1">
        <v>0</v>
      </c>
    </row>
    <row r="74" spans="6:12" ht="28.8" x14ac:dyDescent="0.3">
      <c r="F74" s="1" t="s">
        <v>214</v>
      </c>
      <c r="G74" s="1" t="s">
        <v>121</v>
      </c>
      <c r="H74" s="1" t="s">
        <v>62</v>
      </c>
      <c r="I74" s="1">
        <v>6451.3</v>
      </c>
      <c r="J74" s="1">
        <v>226</v>
      </c>
      <c r="K74" s="1">
        <v>6</v>
      </c>
      <c r="L74" s="1">
        <v>0</v>
      </c>
    </row>
    <row r="75" spans="6:12" ht="28.8" x14ac:dyDescent="0.3">
      <c r="F75" s="1" t="s">
        <v>214</v>
      </c>
      <c r="G75" s="1" t="s">
        <v>121</v>
      </c>
      <c r="H75" s="1" t="s">
        <v>60</v>
      </c>
      <c r="I75" s="1">
        <v>6027.8</v>
      </c>
      <c r="J75" s="1">
        <v>230</v>
      </c>
      <c r="K75" s="1">
        <v>9</v>
      </c>
      <c r="L75" s="1">
        <v>0</v>
      </c>
    </row>
    <row r="76" spans="6:12" ht="28.8" x14ac:dyDescent="0.3">
      <c r="F76" s="1" t="s">
        <v>214</v>
      </c>
      <c r="G76" s="1" t="s">
        <v>169</v>
      </c>
      <c r="H76" s="1" t="s">
        <v>36</v>
      </c>
      <c r="I76" s="1">
        <v>5765.1</v>
      </c>
      <c r="J76" s="1">
        <v>207</v>
      </c>
      <c r="K76" s="1">
        <v>10</v>
      </c>
      <c r="L76" s="1">
        <v>0</v>
      </c>
    </row>
    <row r="77" spans="6:12" ht="28.8" x14ac:dyDescent="0.3">
      <c r="F77" s="1" t="s">
        <v>214</v>
      </c>
      <c r="G77" s="1" t="s">
        <v>122</v>
      </c>
      <c r="H77" s="1" t="s">
        <v>33</v>
      </c>
      <c r="I77" s="1">
        <v>5721.2</v>
      </c>
      <c r="J77" s="1">
        <v>444</v>
      </c>
      <c r="K77" s="1">
        <v>21</v>
      </c>
      <c r="L77" s="1">
        <v>0</v>
      </c>
    </row>
    <row r="78" spans="6:12" ht="28.8" x14ac:dyDescent="0.3">
      <c r="F78" s="1" t="s">
        <v>214</v>
      </c>
      <c r="G78" s="1" t="s">
        <v>131</v>
      </c>
      <c r="H78" s="1" t="s">
        <v>38</v>
      </c>
      <c r="I78" s="1">
        <v>5675.65</v>
      </c>
      <c r="J78" s="1">
        <v>278</v>
      </c>
      <c r="K78" s="1">
        <v>10</v>
      </c>
      <c r="L78" s="1">
        <v>0</v>
      </c>
    </row>
    <row r="79" spans="6:12" ht="28.8" x14ac:dyDescent="0.3">
      <c r="F79" s="1" t="s">
        <v>214</v>
      </c>
      <c r="G79" s="1" t="s">
        <v>190</v>
      </c>
      <c r="H79" s="1" t="s">
        <v>33</v>
      </c>
      <c r="I79" s="1">
        <v>5605.15</v>
      </c>
      <c r="J79" s="1">
        <v>137</v>
      </c>
      <c r="K79" s="1">
        <v>8</v>
      </c>
      <c r="L79" s="1">
        <v>0</v>
      </c>
    </row>
    <row r="80" spans="6:12" ht="28.8" x14ac:dyDescent="0.3">
      <c r="F80" s="1" t="s">
        <v>214</v>
      </c>
      <c r="G80" s="1" t="s">
        <v>169</v>
      </c>
      <c r="H80" s="1" t="s">
        <v>33</v>
      </c>
      <c r="I80" s="1">
        <v>5195.2</v>
      </c>
      <c r="J80" s="1">
        <v>322</v>
      </c>
      <c r="K80" s="1">
        <v>18</v>
      </c>
      <c r="L80" s="1">
        <v>0</v>
      </c>
    </row>
    <row r="81" spans="6:12" ht="28.8" x14ac:dyDescent="0.3">
      <c r="F81" s="1" t="s">
        <v>214</v>
      </c>
      <c r="G81" s="1" t="s">
        <v>213</v>
      </c>
      <c r="H81" s="1" t="s">
        <v>31</v>
      </c>
      <c r="I81" s="1">
        <v>5020.3500000000004</v>
      </c>
      <c r="J81" s="1">
        <v>125</v>
      </c>
      <c r="K81" s="1">
        <v>6</v>
      </c>
      <c r="L81" s="1">
        <v>0</v>
      </c>
    </row>
    <row r="82" spans="6:12" ht="28.8" x14ac:dyDescent="0.3">
      <c r="F82" s="1" t="s">
        <v>214</v>
      </c>
      <c r="G82" s="1" t="s">
        <v>139</v>
      </c>
      <c r="H82" s="1" t="s">
        <v>36</v>
      </c>
      <c r="I82" s="1">
        <v>5010.6000000000004</v>
      </c>
      <c r="J82" s="1">
        <v>256</v>
      </c>
      <c r="K82" s="1">
        <v>10</v>
      </c>
      <c r="L82" s="1">
        <v>0</v>
      </c>
    </row>
    <row r="83" spans="6:12" ht="28.8" x14ac:dyDescent="0.3">
      <c r="F83" s="1" t="s">
        <v>214</v>
      </c>
      <c r="G83" s="1" t="s">
        <v>139</v>
      </c>
      <c r="H83" s="1" t="s">
        <v>38</v>
      </c>
      <c r="I83" s="1">
        <v>4970.3</v>
      </c>
      <c r="J83" s="1">
        <v>226</v>
      </c>
      <c r="K83" s="1">
        <v>8</v>
      </c>
      <c r="L83" s="1">
        <v>0</v>
      </c>
    </row>
    <row r="84" spans="6:12" ht="28.8" x14ac:dyDescent="0.3">
      <c r="F84" s="1" t="s">
        <v>214</v>
      </c>
      <c r="G84" s="1" t="s">
        <v>120</v>
      </c>
      <c r="H84" s="1" t="s">
        <v>36</v>
      </c>
      <c r="I84" s="1">
        <v>4946.3</v>
      </c>
      <c r="J84" s="1">
        <v>204</v>
      </c>
      <c r="K84" s="1">
        <v>8</v>
      </c>
      <c r="L84" s="1">
        <v>0</v>
      </c>
    </row>
    <row r="85" spans="6:12" ht="28.8" x14ac:dyDescent="0.3">
      <c r="F85" s="1" t="s">
        <v>214</v>
      </c>
      <c r="G85" s="1" t="s">
        <v>190</v>
      </c>
      <c r="H85" s="1" t="s">
        <v>62</v>
      </c>
      <c r="I85" s="1">
        <v>4859.6400000000003</v>
      </c>
      <c r="J85" s="1">
        <v>57</v>
      </c>
      <c r="K85" s="1">
        <v>2</v>
      </c>
      <c r="L85" s="1">
        <v>0</v>
      </c>
    </row>
    <row r="86" spans="6:12" ht="28.8" x14ac:dyDescent="0.3">
      <c r="F86" s="1" t="s">
        <v>214</v>
      </c>
      <c r="G86" s="1" t="s">
        <v>121</v>
      </c>
      <c r="H86" s="1" t="s">
        <v>43</v>
      </c>
      <c r="I86" s="1">
        <v>4702.3999999999996</v>
      </c>
      <c r="J86" s="1">
        <v>241</v>
      </c>
      <c r="K86" s="1">
        <v>13</v>
      </c>
      <c r="L86" s="1">
        <v>0</v>
      </c>
    </row>
    <row r="87" spans="6:12" ht="28.8" x14ac:dyDescent="0.3">
      <c r="F87" s="1" t="s">
        <v>214</v>
      </c>
      <c r="G87" s="1" t="s">
        <v>213</v>
      </c>
      <c r="H87" s="1" t="s">
        <v>56</v>
      </c>
      <c r="I87" s="1">
        <v>4626</v>
      </c>
      <c r="J87" s="1">
        <v>100</v>
      </c>
      <c r="K87" s="1">
        <v>3</v>
      </c>
      <c r="L87" s="1">
        <v>0</v>
      </c>
    </row>
    <row r="88" spans="6:12" ht="28.8" x14ac:dyDescent="0.3">
      <c r="F88" s="1" t="s">
        <v>214</v>
      </c>
      <c r="G88" s="1" t="s">
        <v>122</v>
      </c>
      <c r="H88" s="1" t="s">
        <v>48</v>
      </c>
      <c r="I88" s="1">
        <v>4604.3999999999996</v>
      </c>
      <c r="J88" s="1">
        <v>202</v>
      </c>
      <c r="K88" s="1">
        <v>7</v>
      </c>
      <c r="L88" s="1">
        <v>0</v>
      </c>
    </row>
    <row r="89" spans="6:12" ht="28.8" x14ac:dyDescent="0.3">
      <c r="F89" s="1" t="s">
        <v>214</v>
      </c>
      <c r="G89" s="1" t="s">
        <v>190</v>
      </c>
      <c r="H89" s="1" t="s">
        <v>50</v>
      </c>
      <c r="I89" s="1">
        <v>4590.3999999999996</v>
      </c>
      <c r="J89" s="1">
        <v>172</v>
      </c>
      <c r="K89" s="1">
        <v>5</v>
      </c>
      <c r="L89" s="1">
        <v>0</v>
      </c>
    </row>
    <row r="90" spans="6:12" ht="28.8" x14ac:dyDescent="0.3">
      <c r="F90" s="1" t="s">
        <v>214</v>
      </c>
      <c r="G90" s="1" t="s">
        <v>120</v>
      </c>
      <c r="H90" s="1" t="s">
        <v>33</v>
      </c>
      <c r="I90" s="1">
        <v>4580.1499999999996</v>
      </c>
      <c r="J90" s="1">
        <v>294</v>
      </c>
      <c r="K90" s="1">
        <v>15</v>
      </c>
      <c r="L90" s="1">
        <v>0</v>
      </c>
    </row>
    <row r="91" spans="6:12" ht="28.8" x14ac:dyDescent="0.3">
      <c r="F91" s="1" t="s">
        <v>214</v>
      </c>
      <c r="G91" s="1" t="s">
        <v>139</v>
      </c>
      <c r="H91" s="1" t="s">
        <v>56</v>
      </c>
      <c r="I91" s="1">
        <v>4455.3999999999996</v>
      </c>
      <c r="J91" s="1">
        <v>210</v>
      </c>
      <c r="K91" s="1">
        <v>9</v>
      </c>
      <c r="L91" s="1">
        <v>0</v>
      </c>
    </row>
    <row r="92" spans="6:12" ht="28.8" x14ac:dyDescent="0.3">
      <c r="F92" s="1" t="s">
        <v>214</v>
      </c>
      <c r="G92" s="1" t="s">
        <v>120</v>
      </c>
      <c r="H92" s="1" t="s">
        <v>56</v>
      </c>
      <c r="I92" s="1">
        <v>4300.95</v>
      </c>
      <c r="J92" s="1">
        <v>230</v>
      </c>
      <c r="K92" s="1">
        <v>8</v>
      </c>
      <c r="L92" s="1">
        <v>0</v>
      </c>
    </row>
    <row r="93" spans="6:12" ht="28.8" x14ac:dyDescent="0.3">
      <c r="F93" s="1" t="s">
        <v>214</v>
      </c>
      <c r="G93" s="1" t="s">
        <v>190</v>
      </c>
      <c r="H93" s="1" t="s">
        <v>36</v>
      </c>
      <c r="I93" s="1">
        <v>4266</v>
      </c>
      <c r="J93" s="1">
        <v>141</v>
      </c>
      <c r="K93" s="1">
        <v>4</v>
      </c>
      <c r="L93" s="1">
        <v>0</v>
      </c>
    </row>
    <row r="94" spans="6:12" ht="28.8" x14ac:dyDescent="0.3">
      <c r="F94" s="1" t="s">
        <v>214</v>
      </c>
      <c r="G94" s="1" t="s">
        <v>121</v>
      </c>
      <c r="H94" s="1" t="s">
        <v>81</v>
      </c>
      <c r="I94" s="1">
        <v>4240.8</v>
      </c>
      <c r="J94" s="1">
        <v>148</v>
      </c>
      <c r="K94" s="1">
        <v>7</v>
      </c>
      <c r="L94" s="1">
        <v>0</v>
      </c>
    </row>
    <row r="95" spans="6:12" ht="28.8" x14ac:dyDescent="0.3">
      <c r="F95" s="1" t="s">
        <v>214</v>
      </c>
      <c r="G95" s="1" t="s">
        <v>169</v>
      </c>
      <c r="H95" s="1" t="s">
        <v>62</v>
      </c>
      <c r="I95" s="1">
        <v>4171</v>
      </c>
      <c r="J95" s="1">
        <v>200</v>
      </c>
      <c r="K95" s="1">
        <v>6</v>
      </c>
      <c r="L95" s="1">
        <v>0</v>
      </c>
    </row>
    <row r="96" spans="6:12" ht="28.8" x14ac:dyDescent="0.3">
      <c r="F96" s="1" t="s">
        <v>214</v>
      </c>
      <c r="G96" s="1" t="s">
        <v>139</v>
      </c>
      <c r="H96" s="1" t="s">
        <v>28</v>
      </c>
      <c r="I96" s="1">
        <v>3898.5</v>
      </c>
      <c r="J96" s="1">
        <v>180</v>
      </c>
      <c r="K96" s="1">
        <v>5</v>
      </c>
      <c r="L96" s="1">
        <v>0</v>
      </c>
    </row>
    <row r="97" spans="6:12" ht="28.8" x14ac:dyDescent="0.3">
      <c r="F97" s="1" t="s">
        <v>214</v>
      </c>
      <c r="G97" s="1" t="s">
        <v>139</v>
      </c>
      <c r="H97" s="1" t="s">
        <v>67</v>
      </c>
      <c r="I97" s="1">
        <v>3869.45</v>
      </c>
      <c r="J97" s="1">
        <v>181</v>
      </c>
      <c r="K97" s="1">
        <v>7</v>
      </c>
      <c r="L97" s="1">
        <v>0</v>
      </c>
    </row>
    <row r="98" spans="6:12" ht="28.8" x14ac:dyDescent="0.3">
      <c r="F98" s="1" t="s">
        <v>214</v>
      </c>
      <c r="G98" s="1" t="s">
        <v>213</v>
      </c>
      <c r="H98" s="1" t="s">
        <v>28</v>
      </c>
      <c r="I98" s="1">
        <v>3821.7</v>
      </c>
      <c r="J98" s="1">
        <v>121</v>
      </c>
      <c r="K98" s="1">
        <v>3</v>
      </c>
      <c r="L98" s="1">
        <v>0</v>
      </c>
    </row>
    <row r="99" spans="6:12" ht="28.8" x14ac:dyDescent="0.3">
      <c r="F99" s="1" t="s">
        <v>214</v>
      </c>
      <c r="G99" s="1" t="s">
        <v>190</v>
      </c>
      <c r="H99" s="1" t="s">
        <v>56</v>
      </c>
      <c r="I99" s="1">
        <v>3700.7</v>
      </c>
      <c r="J99" s="1">
        <v>146</v>
      </c>
      <c r="K99" s="1">
        <v>4</v>
      </c>
      <c r="L99" s="1">
        <v>0</v>
      </c>
    </row>
    <row r="100" spans="6:12" ht="28.8" x14ac:dyDescent="0.3">
      <c r="F100" s="1" t="s">
        <v>214</v>
      </c>
      <c r="G100" s="1" t="s">
        <v>139</v>
      </c>
      <c r="H100" s="1" t="s">
        <v>33</v>
      </c>
      <c r="I100" s="1">
        <v>3493.5</v>
      </c>
      <c r="J100" s="1">
        <v>159</v>
      </c>
      <c r="K100" s="1">
        <v>6</v>
      </c>
      <c r="L100" s="1">
        <v>0</v>
      </c>
    </row>
    <row r="101" spans="6:12" ht="28.8" x14ac:dyDescent="0.3">
      <c r="F101" s="1" t="s">
        <v>214</v>
      </c>
      <c r="G101" s="1" t="s">
        <v>190</v>
      </c>
      <c r="H101" s="1" t="s">
        <v>60</v>
      </c>
      <c r="I101" s="1">
        <v>3345.25</v>
      </c>
      <c r="J101" s="1">
        <v>93</v>
      </c>
      <c r="K101" s="1">
        <v>6</v>
      </c>
      <c r="L101" s="1">
        <v>0</v>
      </c>
    </row>
    <row r="102" spans="6:12" ht="28.8" x14ac:dyDescent="0.3">
      <c r="F102" s="1" t="s">
        <v>214</v>
      </c>
      <c r="G102" s="1" t="s">
        <v>169</v>
      </c>
      <c r="H102" s="1" t="s">
        <v>38</v>
      </c>
      <c r="I102" s="1">
        <v>3250</v>
      </c>
      <c r="J102" s="1">
        <v>140</v>
      </c>
      <c r="K102" s="1">
        <v>4</v>
      </c>
      <c r="L102" s="1">
        <v>0</v>
      </c>
    </row>
    <row r="103" spans="6:12" ht="28.8" x14ac:dyDescent="0.3">
      <c r="F103" s="1" t="s">
        <v>214</v>
      </c>
      <c r="G103" s="1" t="s">
        <v>131</v>
      </c>
      <c r="H103" s="1" t="s">
        <v>62</v>
      </c>
      <c r="I103" s="1">
        <v>3246.16</v>
      </c>
      <c r="J103" s="1">
        <v>148</v>
      </c>
      <c r="K103" s="1">
        <v>6</v>
      </c>
      <c r="L103" s="1">
        <v>0</v>
      </c>
    </row>
    <row r="104" spans="6:12" ht="28.8" x14ac:dyDescent="0.3">
      <c r="F104" s="1" t="s">
        <v>214</v>
      </c>
      <c r="G104" s="1" t="s">
        <v>213</v>
      </c>
      <c r="H104" s="1" t="s">
        <v>48</v>
      </c>
      <c r="I104" s="1">
        <v>3223.2</v>
      </c>
      <c r="J104" s="1">
        <v>98</v>
      </c>
      <c r="K104" s="1">
        <v>4</v>
      </c>
      <c r="L104" s="1">
        <v>0</v>
      </c>
    </row>
    <row r="105" spans="6:12" ht="28.8" x14ac:dyDescent="0.3">
      <c r="F105" s="1" t="s">
        <v>214</v>
      </c>
      <c r="G105" s="1" t="s">
        <v>213</v>
      </c>
      <c r="H105" s="1" t="s">
        <v>50</v>
      </c>
      <c r="I105" s="1">
        <v>3124</v>
      </c>
      <c r="J105" s="1">
        <v>95</v>
      </c>
      <c r="K105" s="1">
        <v>4</v>
      </c>
      <c r="L105" s="1">
        <v>0</v>
      </c>
    </row>
    <row r="106" spans="6:12" ht="28.8" x14ac:dyDescent="0.3">
      <c r="F106" s="1" t="s">
        <v>214</v>
      </c>
      <c r="G106" s="1" t="s">
        <v>169</v>
      </c>
      <c r="H106" s="1" t="s">
        <v>50</v>
      </c>
      <c r="I106" s="1">
        <v>3074.25</v>
      </c>
      <c r="J106" s="1">
        <v>196</v>
      </c>
      <c r="K106" s="1">
        <v>7</v>
      </c>
      <c r="L106" s="1">
        <v>0</v>
      </c>
    </row>
    <row r="107" spans="6:12" ht="28.8" x14ac:dyDescent="0.3">
      <c r="F107" s="1" t="s">
        <v>214</v>
      </c>
      <c r="G107" s="1" t="s">
        <v>122</v>
      </c>
      <c r="H107" s="1" t="s">
        <v>28</v>
      </c>
      <c r="I107" s="1">
        <v>2919.4</v>
      </c>
      <c r="J107" s="1">
        <v>170</v>
      </c>
      <c r="K107" s="1">
        <v>8</v>
      </c>
      <c r="L107" s="1">
        <v>0</v>
      </c>
    </row>
    <row r="108" spans="6:12" ht="28.8" x14ac:dyDescent="0.3">
      <c r="F108" s="1" t="s">
        <v>214</v>
      </c>
      <c r="G108" s="1" t="s">
        <v>120</v>
      </c>
      <c r="H108" s="1" t="s">
        <v>62</v>
      </c>
      <c r="I108" s="1">
        <v>2831.6</v>
      </c>
      <c r="J108" s="1">
        <v>177</v>
      </c>
      <c r="K108" s="1">
        <v>8</v>
      </c>
      <c r="L108" s="1">
        <v>0</v>
      </c>
    </row>
    <row r="109" spans="6:12" ht="28.8" x14ac:dyDescent="0.3">
      <c r="F109" s="1" t="s">
        <v>214</v>
      </c>
      <c r="G109" s="1" t="s">
        <v>190</v>
      </c>
      <c r="H109" s="1" t="s">
        <v>43</v>
      </c>
      <c r="I109" s="1">
        <v>2828.9</v>
      </c>
      <c r="J109" s="1">
        <v>81</v>
      </c>
      <c r="K109" s="1">
        <v>5</v>
      </c>
      <c r="L109" s="1">
        <v>0</v>
      </c>
    </row>
    <row r="110" spans="6:12" ht="28.8" x14ac:dyDescent="0.3">
      <c r="F110" s="1" t="s">
        <v>214</v>
      </c>
      <c r="G110" s="1" t="s">
        <v>169</v>
      </c>
      <c r="H110" s="1" t="s">
        <v>60</v>
      </c>
      <c r="I110" s="1">
        <v>2800</v>
      </c>
      <c r="J110" s="1">
        <v>100</v>
      </c>
      <c r="K110" s="1">
        <v>5</v>
      </c>
      <c r="L110" s="1">
        <v>0</v>
      </c>
    </row>
    <row r="111" spans="6:12" ht="28.8" x14ac:dyDescent="0.3">
      <c r="F111" s="1" t="s">
        <v>214</v>
      </c>
      <c r="G111" s="1" t="s">
        <v>169</v>
      </c>
      <c r="H111" s="1" t="s">
        <v>48</v>
      </c>
      <c r="I111" s="1">
        <v>2792</v>
      </c>
      <c r="J111" s="1">
        <v>113</v>
      </c>
      <c r="K111" s="1">
        <v>5</v>
      </c>
      <c r="L111" s="1">
        <v>0</v>
      </c>
    </row>
    <row r="112" spans="6:12" ht="28.8" x14ac:dyDescent="0.3">
      <c r="F112" s="1" t="s">
        <v>214</v>
      </c>
      <c r="G112" s="1" t="s">
        <v>131</v>
      </c>
      <c r="H112" s="1" t="s">
        <v>81</v>
      </c>
      <c r="I112" s="1">
        <v>2787.7</v>
      </c>
      <c r="J112" s="1">
        <v>145</v>
      </c>
      <c r="K112" s="1">
        <v>8</v>
      </c>
      <c r="L112" s="1">
        <v>0</v>
      </c>
    </row>
    <row r="113" spans="6:12" ht="28.8" x14ac:dyDescent="0.3">
      <c r="F113" s="1" t="s">
        <v>214</v>
      </c>
      <c r="G113" s="1" t="s">
        <v>122</v>
      </c>
      <c r="H113" s="1" t="s">
        <v>88</v>
      </c>
      <c r="I113" s="1">
        <v>2756</v>
      </c>
      <c r="J113" s="1">
        <v>48</v>
      </c>
      <c r="K113" s="1">
        <v>3</v>
      </c>
      <c r="L113" s="1">
        <v>0</v>
      </c>
    </row>
    <row r="114" spans="6:12" ht="28.8" x14ac:dyDescent="0.3">
      <c r="F114" s="1" t="s">
        <v>214</v>
      </c>
      <c r="G114" s="1" t="s">
        <v>121</v>
      </c>
      <c r="H114" s="1" t="s">
        <v>56</v>
      </c>
      <c r="I114" s="1">
        <v>2753.2</v>
      </c>
      <c r="J114" s="1">
        <v>89</v>
      </c>
      <c r="K114" s="1">
        <v>4</v>
      </c>
      <c r="L114" s="1">
        <v>0</v>
      </c>
    </row>
    <row r="115" spans="6:12" ht="28.8" x14ac:dyDescent="0.3">
      <c r="F115" s="1" t="s">
        <v>214</v>
      </c>
      <c r="G115" s="1" t="s">
        <v>139</v>
      </c>
      <c r="H115" s="1" t="s">
        <v>48</v>
      </c>
      <c r="I115" s="1">
        <v>2714.7</v>
      </c>
      <c r="J115" s="1">
        <v>147</v>
      </c>
      <c r="K115" s="1">
        <v>5</v>
      </c>
      <c r="L115" s="1">
        <v>0</v>
      </c>
    </row>
    <row r="116" spans="6:12" ht="28.8" x14ac:dyDescent="0.3">
      <c r="F116" s="1" t="s">
        <v>214</v>
      </c>
      <c r="G116" s="1" t="s">
        <v>131</v>
      </c>
      <c r="H116" s="1" t="s">
        <v>56</v>
      </c>
      <c r="I116" s="1">
        <v>2571</v>
      </c>
      <c r="J116" s="1">
        <v>171</v>
      </c>
      <c r="K116" s="1">
        <v>6</v>
      </c>
      <c r="L116" s="1">
        <v>0</v>
      </c>
    </row>
    <row r="117" spans="6:12" ht="28.8" x14ac:dyDescent="0.3">
      <c r="F117" s="1" t="s">
        <v>214</v>
      </c>
      <c r="G117" s="1" t="s">
        <v>213</v>
      </c>
      <c r="H117" s="1" t="s">
        <v>43</v>
      </c>
      <c r="I117" s="1">
        <v>2517.75</v>
      </c>
      <c r="J117" s="1">
        <v>67</v>
      </c>
      <c r="K117" s="1">
        <v>4</v>
      </c>
      <c r="L117" s="1">
        <v>0</v>
      </c>
    </row>
    <row r="118" spans="6:12" ht="28.8" x14ac:dyDescent="0.3">
      <c r="F118" s="1" t="s">
        <v>214</v>
      </c>
      <c r="G118" s="1" t="s">
        <v>169</v>
      </c>
      <c r="H118" s="1" t="s">
        <v>67</v>
      </c>
      <c r="I118" s="1">
        <v>2415.1999999999998</v>
      </c>
      <c r="J118" s="1">
        <v>84</v>
      </c>
      <c r="K118" s="1">
        <v>4</v>
      </c>
      <c r="L118" s="1">
        <v>0</v>
      </c>
    </row>
    <row r="119" spans="6:12" ht="28.8" x14ac:dyDescent="0.3">
      <c r="F119" s="1" t="s">
        <v>214</v>
      </c>
      <c r="G119" s="1" t="s">
        <v>213</v>
      </c>
      <c r="H119" s="1" t="s">
        <v>62</v>
      </c>
      <c r="I119" s="1">
        <v>2236</v>
      </c>
      <c r="J119" s="1">
        <v>77</v>
      </c>
      <c r="K119" s="1">
        <v>4</v>
      </c>
      <c r="L119" s="1">
        <v>0</v>
      </c>
    </row>
    <row r="120" spans="6:12" ht="28.8" x14ac:dyDescent="0.3">
      <c r="F120" s="1" t="s">
        <v>214</v>
      </c>
      <c r="G120" s="1" t="s">
        <v>190</v>
      </c>
      <c r="H120" s="1" t="s">
        <v>48</v>
      </c>
      <c r="I120" s="1">
        <v>2184</v>
      </c>
      <c r="J120" s="1">
        <v>79</v>
      </c>
      <c r="K120" s="1">
        <v>3</v>
      </c>
      <c r="L120" s="1">
        <v>0</v>
      </c>
    </row>
    <row r="121" spans="6:12" ht="28.8" x14ac:dyDescent="0.3">
      <c r="F121" s="1" t="s">
        <v>214</v>
      </c>
      <c r="G121" s="1" t="s">
        <v>213</v>
      </c>
      <c r="H121" s="1" t="s">
        <v>71</v>
      </c>
      <c r="I121" s="1">
        <v>2120</v>
      </c>
      <c r="J121" s="1">
        <v>40</v>
      </c>
      <c r="K121" s="1">
        <v>1</v>
      </c>
      <c r="L121" s="1">
        <v>0</v>
      </c>
    </row>
    <row r="122" spans="6:12" ht="28.8" x14ac:dyDescent="0.3">
      <c r="F122" s="1" t="s">
        <v>214</v>
      </c>
      <c r="G122" s="1" t="s">
        <v>131</v>
      </c>
      <c r="H122" s="1" t="s">
        <v>79</v>
      </c>
      <c r="I122" s="1">
        <v>2095.1</v>
      </c>
      <c r="J122" s="1">
        <v>55</v>
      </c>
      <c r="K122" s="1">
        <v>7</v>
      </c>
      <c r="L122" s="1">
        <v>0</v>
      </c>
    </row>
    <row r="123" spans="6:12" ht="28.8" x14ac:dyDescent="0.3">
      <c r="F123" s="1" t="s">
        <v>214</v>
      </c>
      <c r="G123" s="1" t="s">
        <v>131</v>
      </c>
      <c r="H123" s="1" t="s">
        <v>43</v>
      </c>
      <c r="I123" s="1">
        <v>2066.9499999999998</v>
      </c>
      <c r="J123" s="1">
        <v>119</v>
      </c>
      <c r="K123" s="1">
        <v>7</v>
      </c>
      <c r="L123" s="1">
        <v>0</v>
      </c>
    </row>
    <row r="124" spans="6:12" ht="28.8" x14ac:dyDescent="0.3">
      <c r="F124" s="1" t="s">
        <v>214</v>
      </c>
      <c r="G124" s="1" t="s">
        <v>122</v>
      </c>
      <c r="H124" s="1" t="s">
        <v>60</v>
      </c>
      <c r="I124" s="1">
        <v>2042</v>
      </c>
      <c r="J124" s="1">
        <v>97</v>
      </c>
      <c r="K124" s="1">
        <v>8</v>
      </c>
      <c r="L124" s="1">
        <v>0</v>
      </c>
    </row>
    <row r="125" spans="6:12" ht="28.8" x14ac:dyDescent="0.3">
      <c r="F125" s="1" t="s">
        <v>214</v>
      </c>
      <c r="G125" s="1" t="s">
        <v>139</v>
      </c>
      <c r="H125" s="1" t="s">
        <v>50</v>
      </c>
      <c r="I125" s="1">
        <v>1990.55</v>
      </c>
      <c r="J125" s="1">
        <v>166</v>
      </c>
      <c r="K125" s="1">
        <v>8</v>
      </c>
      <c r="L125" s="1">
        <v>0</v>
      </c>
    </row>
    <row r="126" spans="6:12" ht="28.8" x14ac:dyDescent="0.3">
      <c r="F126" s="1" t="s">
        <v>214</v>
      </c>
      <c r="G126" s="1" t="s">
        <v>139</v>
      </c>
      <c r="H126" s="1" t="s">
        <v>60</v>
      </c>
      <c r="I126" s="1">
        <v>1873</v>
      </c>
      <c r="J126" s="1">
        <v>75</v>
      </c>
      <c r="K126" s="1">
        <v>5</v>
      </c>
      <c r="L126" s="1">
        <v>0</v>
      </c>
    </row>
    <row r="127" spans="6:12" ht="28.8" x14ac:dyDescent="0.3">
      <c r="F127" s="1" t="s">
        <v>214</v>
      </c>
      <c r="G127" s="1" t="s">
        <v>120</v>
      </c>
      <c r="H127" s="1" t="s">
        <v>43</v>
      </c>
      <c r="I127" s="1">
        <v>1855</v>
      </c>
      <c r="J127" s="1">
        <v>102</v>
      </c>
      <c r="K127" s="1">
        <v>8</v>
      </c>
      <c r="L127" s="1">
        <v>0</v>
      </c>
    </row>
    <row r="128" spans="6:12" ht="28.8" x14ac:dyDescent="0.3">
      <c r="F128" s="1" t="s">
        <v>214</v>
      </c>
      <c r="G128" s="1" t="s">
        <v>169</v>
      </c>
      <c r="H128" s="1" t="s">
        <v>81</v>
      </c>
      <c r="I128" s="1">
        <v>1794</v>
      </c>
      <c r="J128" s="1">
        <v>108</v>
      </c>
      <c r="K128" s="1">
        <v>5</v>
      </c>
      <c r="L128" s="1">
        <v>0</v>
      </c>
    </row>
    <row r="129" spans="6:12" ht="28.8" x14ac:dyDescent="0.3">
      <c r="F129" s="1" t="s">
        <v>214</v>
      </c>
      <c r="G129" s="1" t="s">
        <v>139</v>
      </c>
      <c r="H129" s="1" t="s">
        <v>71</v>
      </c>
      <c r="I129" s="1">
        <v>1789.45</v>
      </c>
      <c r="J129" s="1">
        <v>95</v>
      </c>
      <c r="K129" s="1">
        <v>5</v>
      </c>
      <c r="L129" s="1">
        <v>0</v>
      </c>
    </row>
    <row r="130" spans="6:12" ht="28.8" x14ac:dyDescent="0.3">
      <c r="F130" s="1" t="s">
        <v>214</v>
      </c>
      <c r="G130" s="1" t="s">
        <v>131</v>
      </c>
      <c r="H130" s="1" t="s">
        <v>71</v>
      </c>
      <c r="I130" s="1">
        <v>1784.05</v>
      </c>
      <c r="J130" s="1">
        <v>89</v>
      </c>
      <c r="K130" s="1">
        <v>8</v>
      </c>
      <c r="L130" s="1">
        <v>0</v>
      </c>
    </row>
    <row r="131" spans="6:12" ht="28.8" x14ac:dyDescent="0.3">
      <c r="F131" s="1" t="s">
        <v>214</v>
      </c>
      <c r="G131" s="1" t="s">
        <v>131</v>
      </c>
      <c r="H131" s="1" t="s">
        <v>28</v>
      </c>
      <c r="I131" s="1">
        <v>1739.2</v>
      </c>
      <c r="J131" s="1">
        <v>91</v>
      </c>
      <c r="K131" s="1">
        <v>3</v>
      </c>
      <c r="L131" s="1">
        <v>0</v>
      </c>
    </row>
    <row r="132" spans="6:12" ht="28.8" x14ac:dyDescent="0.3">
      <c r="F132" s="1" t="s">
        <v>214</v>
      </c>
      <c r="G132" s="1" t="s">
        <v>169</v>
      </c>
      <c r="H132" s="1" t="s">
        <v>71</v>
      </c>
      <c r="I132" s="1">
        <v>1697</v>
      </c>
      <c r="J132" s="1">
        <v>94</v>
      </c>
      <c r="K132" s="1">
        <v>6</v>
      </c>
      <c r="L132" s="1">
        <v>0</v>
      </c>
    </row>
    <row r="133" spans="6:12" ht="28.8" x14ac:dyDescent="0.3">
      <c r="F133" s="1" t="s">
        <v>214</v>
      </c>
      <c r="G133" s="1" t="s">
        <v>122</v>
      </c>
      <c r="H133" s="1" t="s">
        <v>62</v>
      </c>
      <c r="I133" s="1">
        <v>1561.5</v>
      </c>
      <c r="J133" s="1">
        <v>140</v>
      </c>
      <c r="K133" s="1">
        <v>5</v>
      </c>
      <c r="L133" s="1">
        <v>0</v>
      </c>
    </row>
    <row r="134" spans="6:12" ht="28.8" x14ac:dyDescent="0.3">
      <c r="F134" s="1" t="s">
        <v>214</v>
      </c>
      <c r="G134" s="1" t="s">
        <v>122</v>
      </c>
      <c r="H134" s="1" t="s">
        <v>79</v>
      </c>
      <c r="I134" s="1">
        <v>1518</v>
      </c>
      <c r="J134" s="1">
        <v>62</v>
      </c>
      <c r="K134" s="1">
        <v>5</v>
      </c>
      <c r="L134" s="1">
        <v>0</v>
      </c>
    </row>
    <row r="135" spans="6:12" ht="28.8" x14ac:dyDescent="0.3">
      <c r="F135" s="1" t="s">
        <v>214</v>
      </c>
      <c r="G135" s="1" t="s">
        <v>169</v>
      </c>
      <c r="H135" s="1" t="s">
        <v>28</v>
      </c>
      <c r="I135" s="1">
        <v>1442.4</v>
      </c>
      <c r="J135" s="1">
        <v>52</v>
      </c>
      <c r="K135" s="1">
        <v>3</v>
      </c>
      <c r="L135" s="1">
        <v>0</v>
      </c>
    </row>
    <row r="136" spans="6:12" ht="28.8" x14ac:dyDescent="0.3">
      <c r="F136" s="1" t="s">
        <v>214</v>
      </c>
      <c r="G136" s="1" t="s">
        <v>120</v>
      </c>
      <c r="H136" s="1" t="s">
        <v>71</v>
      </c>
      <c r="I136" s="1">
        <v>1410.09</v>
      </c>
      <c r="J136" s="1">
        <v>72</v>
      </c>
      <c r="K136" s="1">
        <v>6</v>
      </c>
      <c r="L136" s="1">
        <v>0</v>
      </c>
    </row>
    <row r="137" spans="6:12" ht="28.8" x14ac:dyDescent="0.3">
      <c r="F137" s="1" t="s">
        <v>214</v>
      </c>
      <c r="G137" s="1" t="s">
        <v>190</v>
      </c>
      <c r="H137" s="1" t="s">
        <v>67</v>
      </c>
      <c r="I137" s="1">
        <v>1355.9</v>
      </c>
      <c r="J137" s="1">
        <v>30</v>
      </c>
      <c r="K137" s="1">
        <v>2</v>
      </c>
      <c r="L137" s="1">
        <v>0</v>
      </c>
    </row>
    <row r="138" spans="6:12" ht="28.8" x14ac:dyDescent="0.3">
      <c r="F138" s="1" t="s">
        <v>214</v>
      </c>
      <c r="G138" s="1" t="s">
        <v>139</v>
      </c>
      <c r="H138" s="1" t="s">
        <v>81</v>
      </c>
      <c r="I138" s="1">
        <v>1318.25</v>
      </c>
      <c r="J138" s="1">
        <v>80</v>
      </c>
      <c r="K138" s="1">
        <v>4</v>
      </c>
      <c r="L138" s="1">
        <v>0</v>
      </c>
    </row>
    <row r="139" spans="6:12" ht="28.8" x14ac:dyDescent="0.3">
      <c r="F139" s="1" t="s">
        <v>214</v>
      </c>
      <c r="G139" s="1" t="s">
        <v>120</v>
      </c>
      <c r="H139" s="1" t="s">
        <v>81</v>
      </c>
      <c r="I139" s="1">
        <v>1259.5999999999999</v>
      </c>
      <c r="J139" s="1">
        <v>98</v>
      </c>
      <c r="K139" s="1">
        <v>7</v>
      </c>
      <c r="L139" s="1">
        <v>0</v>
      </c>
    </row>
    <row r="140" spans="6:12" ht="28.8" x14ac:dyDescent="0.3">
      <c r="F140" s="1" t="s">
        <v>214</v>
      </c>
      <c r="G140" s="1" t="s">
        <v>122</v>
      </c>
      <c r="H140" s="1" t="s">
        <v>71</v>
      </c>
      <c r="I140" s="1">
        <v>1249.2</v>
      </c>
      <c r="J140" s="1">
        <v>110</v>
      </c>
      <c r="K140" s="1">
        <v>5</v>
      </c>
      <c r="L140" s="1">
        <v>0</v>
      </c>
    </row>
    <row r="141" spans="6:12" ht="28.8" x14ac:dyDescent="0.3">
      <c r="F141" s="1" t="s">
        <v>214</v>
      </c>
      <c r="G141" s="1" t="s">
        <v>139</v>
      </c>
      <c r="H141" s="1" t="s">
        <v>43</v>
      </c>
      <c r="I141" s="1">
        <v>1235.45</v>
      </c>
      <c r="J141" s="1">
        <v>60</v>
      </c>
      <c r="K141" s="1">
        <v>5</v>
      </c>
      <c r="L141" s="1">
        <v>0</v>
      </c>
    </row>
    <row r="142" spans="6:12" ht="28.8" x14ac:dyDescent="0.3">
      <c r="F142" s="1" t="s">
        <v>214</v>
      </c>
      <c r="G142" s="1" t="s">
        <v>120</v>
      </c>
      <c r="H142" s="1" t="s">
        <v>48</v>
      </c>
      <c r="I142" s="1">
        <v>1220</v>
      </c>
      <c r="J142" s="1">
        <v>71</v>
      </c>
      <c r="K142" s="1">
        <v>4</v>
      </c>
      <c r="L142" s="1">
        <v>0</v>
      </c>
    </row>
    <row r="143" spans="6:12" ht="28.8" x14ac:dyDescent="0.3">
      <c r="F143" s="1" t="s">
        <v>214</v>
      </c>
      <c r="G143" s="1" t="s">
        <v>120</v>
      </c>
      <c r="H143" s="1" t="s">
        <v>60</v>
      </c>
      <c r="I143" s="1">
        <v>1196.3</v>
      </c>
      <c r="J143" s="1">
        <v>98</v>
      </c>
      <c r="K143" s="1">
        <v>5</v>
      </c>
      <c r="L143" s="1">
        <v>0</v>
      </c>
    </row>
    <row r="144" spans="6:12" ht="28.8" x14ac:dyDescent="0.3">
      <c r="F144" s="1" t="s">
        <v>214</v>
      </c>
      <c r="G144" s="1" t="s">
        <v>122</v>
      </c>
      <c r="H144" s="1" t="s">
        <v>67</v>
      </c>
      <c r="I144" s="1">
        <v>1190.4000000000001</v>
      </c>
      <c r="J144" s="1">
        <v>78</v>
      </c>
      <c r="K144" s="1">
        <v>5</v>
      </c>
      <c r="L144" s="1">
        <v>0</v>
      </c>
    </row>
    <row r="145" spans="6:12" ht="28.8" x14ac:dyDescent="0.3">
      <c r="F145" s="1" t="s">
        <v>214</v>
      </c>
      <c r="G145" s="1" t="s">
        <v>213</v>
      </c>
      <c r="H145" s="1" t="s">
        <v>60</v>
      </c>
      <c r="I145" s="1">
        <v>1161.05</v>
      </c>
      <c r="J145" s="1">
        <v>73</v>
      </c>
      <c r="K145" s="1">
        <v>5</v>
      </c>
      <c r="L145" s="1">
        <v>0</v>
      </c>
    </row>
    <row r="146" spans="6:12" ht="28.8" x14ac:dyDescent="0.3">
      <c r="F146" s="1" t="s">
        <v>214</v>
      </c>
      <c r="G146" s="1" t="s">
        <v>213</v>
      </c>
      <c r="H146" s="1" t="s">
        <v>79</v>
      </c>
      <c r="I146" s="1">
        <v>1139</v>
      </c>
      <c r="J146" s="1">
        <v>33</v>
      </c>
      <c r="K146" s="1">
        <v>4</v>
      </c>
      <c r="L146" s="1">
        <v>0</v>
      </c>
    </row>
    <row r="147" spans="6:12" ht="28.8" x14ac:dyDescent="0.3">
      <c r="F147" s="1" t="s">
        <v>214</v>
      </c>
      <c r="G147" s="1" t="s">
        <v>131</v>
      </c>
      <c r="H147" s="1" t="s">
        <v>67</v>
      </c>
      <c r="I147" s="1">
        <v>1122.5</v>
      </c>
      <c r="J147" s="1">
        <v>87</v>
      </c>
      <c r="K147" s="1">
        <v>5</v>
      </c>
      <c r="L147" s="1">
        <v>0</v>
      </c>
    </row>
    <row r="148" spans="6:12" ht="28.8" x14ac:dyDescent="0.3">
      <c r="F148" s="1" t="s">
        <v>214</v>
      </c>
      <c r="G148" s="1" t="s">
        <v>121</v>
      </c>
      <c r="H148" s="1" t="s">
        <v>79</v>
      </c>
      <c r="I148" s="1">
        <v>1118.5</v>
      </c>
      <c r="J148" s="1">
        <v>44</v>
      </c>
      <c r="K148" s="1">
        <v>5</v>
      </c>
      <c r="L148" s="1">
        <v>0</v>
      </c>
    </row>
    <row r="149" spans="6:12" ht="28.8" x14ac:dyDescent="0.3">
      <c r="F149" s="1" t="s">
        <v>214</v>
      </c>
      <c r="G149" s="1" t="s">
        <v>213</v>
      </c>
      <c r="H149" s="1" t="s">
        <v>81</v>
      </c>
      <c r="I149" s="1">
        <v>1086.8</v>
      </c>
      <c r="J149" s="1">
        <v>37</v>
      </c>
      <c r="K149" s="1">
        <v>3</v>
      </c>
      <c r="L149" s="1">
        <v>0</v>
      </c>
    </row>
    <row r="150" spans="6:12" ht="28.8" x14ac:dyDescent="0.3">
      <c r="F150" s="1" t="s">
        <v>214</v>
      </c>
      <c r="G150" s="1" t="s">
        <v>131</v>
      </c>
      <c r="H150" s="1" t="s">
        <v>60</v>
      </c>
      <c r="I150" s="1">
        <v>1033.05</v>
      </c>
      <c r="J150" s="1">
        <v>89</v>
      </c>
      <c r="K150" s="1">
        <v>6</v>
      </c>
      <c r="L150" s="1">
        <v>0</v>
      </c>
    </row>
    <row r="151" spans="6:12" ht="28.8" x14ac:dyDescent="0.3">
      <c r="F151" s="1" t="s">
        <v>214</v>
      </c>
      <c r="G151" s="1" t="s">
        <v>121</v>
      </c>
      <c r="H151" s="1" t="s">
        <v>67</v>
      </c>
      <c r="I151" s="1">
        <v>1008</v>
      </c>
      <c r="J151" s="1">
        <v>31</v>
      </c>
      <c r="K151" s="1">
        <v>3</v>
      </c>
      <c r="L151" s="1">
        <v>0</v>
      </c>
    </row>
    <row r="152" spans="6:12" ht="28.8" x14ac:dyDescent="0.3">
      <c r="F152" s="1" t="s">
        <v>214</v>
      </c>
      <c r="G152" s="1" t="s">
        <v>122</v>
      </c>
      <c r="H152" s="1" t="s">
        <v>81</v>
      </c>
      <c r="I152" s="1">
        <v>930</v>
      </c>
      <c r="J152" s="1">
        <v>92</v>
      </c>
      <c r="K152" s="1">
        <v>4</v>
      </c>
      <c r="L152" s="1">
        <v>0</v>
      </c>
    </row>
    <row r="153" spans="6:12" ht="28.8" x14ac:dyDescent="0.3">
      <c r="F153" s="1" t="s">
        <v>214</v>
      </c>
      <c r="G153" s="1" t="s">
        <v>139</v>
      </c>
      <c r="H153" s="1" t="s">
        <v>79</v>
      </c>
      <c r="I153" s="1">
        <v>907</v>
      </c>
      <c r="J153" s="1">
        <v>45</v>
      </c>
      <c r="K153" s="1">
        <v>3</v>
      </c>
      <c r="L153" s="1">
        <v>0</v>
      </c>
    </row>
    <row r="154" spans="6:12" ht="28.8" x14ac:dyDescent="0.3">
      <c r="F154" s="1" t="s">
        <v>214</v>
      </c>
      <c r="G154" s="1" t="s">
        <v>213</v>
      </c>
      <c r="H154" s="1" t="s">
        <v>36</v>
      </c>
      <c r="I154" s="1">
        <v>840</v>
      </c>
      <c r="J154" s="1">
        <v>50</v>
      </c>
      <c r="K154" s="1">
        <v>2</v>
      </c>
      <c r="L154" s="1">
        <v>0</v>
      </c>
    </row>
    <row r="155" spans="6:12" ht="28.8" x14ac:dyDescent="0.3">
      <c r="F155" s="1" t="s">
        <v>214</v>
      </c>
      <c r="G155" s="1" t="s">
        <v>190</v>
      </c>
      <c r="H155" s="1" t="s">
        <v>81</v>
      </c>
      <c r="I155" s="1">
        <v>839</v>
      </c>
      <c r="J155" s="1">
        <v>30</v>
      </c>
      <c r="K155" s="1">
        <v>2</v>
      </c>
      <c r="L155" s="1">
        <v>0</v>
      </c>
    </row>
    <row r="156" spans="6:12" ht="28.8" x14ac:dyDescent="0.3">
      <c r="F156" s="1" t="s">
        <v>214</v>
      </c>
      <c r="G156" s="1" t="s">
        <v>122</v>
      </c>
      <c r="H156" s="1" t="s">
        <v>97</v>
      </c>
      <c r="I156" s="1">
        <v>828.5</v>
      </c>
      <c r="J156" s="1">
        <v>71</v>
      </c>
      <c r="K156" s="1">
        <v>4</v>
      </c>
      <c r="L156" s="1">
        <v>0</v>
      </c>
    </row>
    <row r="157" spans="6:12" ht="28.8" x14ac:dyDescent="0.3">
      <c r="F157" s="1" t="s">
        <v>214</v>
      </c>
      <c r="G157" s="1" t="s">
        <v>121</v>
      </c>
      <c r="H157" s="1" t="s">
        <v>97</v>
      </c>
      <c r="I157" s="1">
        <v>810</v>
      </c>
      <c r="J157" s="1">
        <v>45</v>
      </c>
      <c r="K157" s="1">
        <v>2</v>
      </c>
      <c r="L157" s="1">
        <v>0</v>
      </c>
    </row>
    <row r="158" spans="6:12" ht="28.8" x14ac:dyDescent="0.3">
      <c r="F158" s="1" t="s">
        <v>214</v>
      </c>
      <c r="G158" s="1" t="s">
        <v>121</v>
      </c>
      <c r="H158" s="1" t="s">
        <v>88</v>
      </c>
      <c r="I158" s="1">
        <v>786</v>
      </c>
      <c r="J158" s="1">
        <v>27</v>
      </c>
      <c r="K158" s="1">
        <v>1</v>
      </c>
      <c r="L158" s="1">
        <v>0</v>
      </c>
    </row>
    <row r="159" spans="6:12" ht="28.8" x14ac:dyDescent="0.3">
      <c r="F159" s="1" t="s">
        <v>214</v>
      </c>
      <c r="G159" s="1" t="s">
        <v>213</v>
      </c>
      <c r="H159" s="1" t="s">
        <v>67</v>
      </c>
      <c r="I159" s="1">
        <v>763.2</v>
      </c>
      <c r="J159" s="1">
        <v>18</v>
      </c>
      <c r="K159" s="1">
        <v>1</v>
      </c>
      <c r="L159" s="1">
        <v>0</v>
      </c>
    </row>
    <row r="160" spans="6:12" ht="28.8" x14ac:dyDescent="0.3">
      <c r="F160" s="1" t="s">
        <v>214</v>
      </c>
      <c r="G160" s="1" t="s">
        <v>120</v>
      </c>
      <c r="H160" s="1" t="s">
        <v>67</v>
      </c>
      <c r="I160" s="1">
        <v>744</v>
      </c>
      <c r="J160" s="1">
        <v>24</v>
      </c>
      <c r="K160" s="1">
        <v>1</v>
      </c>
      <c r="L160" s="1">
        <v>0</v>
      </c>
    </row>
    <row r="161" spans="6:12" ht="28.8" x14ac:dyDescent="0.3">
      <c r="F161" s="1" t="s">
        <v>214</v>
      </c>
      <c r="G161" s="1" t="s">
        <v>139</v>
      </c>
      <c r="H161" s="1" t="s">
        <v>97</v>
      </c>
      <c r="I161" s="1">
        <v>627</v>
      </c>
      <c r="J161" s="1">
        <v>22</v>
      </c>
      <c r="K161" s="1">
        <v>2</v>
      </c>
      <c r="L161" s="1">
        <v>0</v>
      </c>
    </row>
    <row r="162" spans="6:12" ht="28.8" x14ac:dyDescent="0.3">
      <c r="F162" s="1" t="s">
        <v>214</v>
      </c>
      <c r="G162" s="1" t="s">
        <v>213</v>
      </c>
      <c r="H162" s="1" t="s">
        <v>88</v>
      </c>
      <c r="I162" s="1">
        <v>578.4</v>
      </c>
      <c r="J162" s="1">
        <v>18</v>
      </c>
      <c r="K162" s="1">
        <v>2</v>
      </c>
      <c r="L162" s="1">
        <v>0</v>
      </c>
    </row>
    <row r="163" spans="6:12" ht="28.8" x14ac:dyDescent="0.3">
      <c r="F163" s="1" t="s">
        <v>214</v>
      </c>
      <c r="G163" s="1" t="s">
        <v>120</v>
      </c>
      <c r="H163" s="1" t="s">
        <v>79</v>
      </c>
      <c r="I163" s="1">
        <v>570.5</v>
      </c>
      <c r="J163" s="1">
        <v>45</v>
      </c>
      <c r="K163" s="1">
        <v>4</v>
      </c>
      <c r="L163" s="1">
        <v>0</v>
      </c>
    </row>
    <row r="164" spans="6:12" ht="28.8" x14ac:dyDescent="0.3">
      <c r="F164" s="1" t="s">
        <v>214</v>
      </c>
      <c r="G164" s="1" t="s">
        <v>169</v>
      </c>
      <c r="H164" s="1" t="s">
        <v>43</v>
      </c>
      <c r="I164" s="1">
        <v>559.5</v>
      </c>
      <c r="J164" s="1">
        <v>50</v>
      </c>
      <c r="K164" s="1">
        <v>4</v>
      </c>
      <c r="L164" s="1">
        <v>0</v>
      </c>
    </row>
    <row r="165" spans="6:12" ht="28.8" x14ac:dyDescent="0.3">
      <c r="F165" s="1" t="s">
        <v>214</v>
      </c>
      <c r="G165" s="1" t="s">
        <v>120</v>
      </c>
      <c r="H165" s="1" t="s">
        <v>88</v>
      </c>
      <c r="I165" s="1">
        <v>548.25</v>
      </c>
      <c r="J165" s="1">
        <v>13</v>
      </c>
      <c r="K165" s="1">
        <v>2</v>
      </c>
      <c r="L165" s="1">
        <v>0</v>
      </c>
    </row>
    <row r="166" spans="6:12" ht="28.8" x14ac:dyDescent="0.3">
      <c r="F166" s="1" t="s">
        <v>214</v>
      </c>
      <c r="G166" s="1" t="s">
        <v>169</v>
      </c>
      <c r="H166" s="1" t="s">
        <v>79</v>
      </c>
      <c r="I166" s="1">
        <v>390</v>
      </c>
      <c r="J166" s="1">
        <v>20</v>
      </c>
      <c r="K166" s="1">
        <v>1</v>
      </c>
      <c r="L166" s="1">
        <v>0</v>
      </c>
    </row>
    <row r="167" spans="6:12" ht="28.8" x14ac:dyDescent="0.3">
      <c r="F167" s="1" t="s">
        <v>214</v>
      </c>
      <c r="G167" s="1" t="s">
        <v>121</v>
      </c>
      <c r="H167" s="1" t="s">
        <v>71</v>
      </c>
      <c r="I167" s="1">
        <v>340</v>
      </c>
      <c r="J167" s="1">
        <v>10</v>
      </c>
      <c r="K167" s="1">
        <v>1</v>
      </c>
      <c r="L167" s="1">
        <v>0</v>
      </c>
    </row>
    <row r="168" spans="6:12" ht="28.8" x14ac:dyDescent="0.3">
      <c r="F168" s="1" t="s">
        <v>214</v>
      </c>
      <c r="G168" s="1" t="s">
        <v>213</v>
      </c>
      <c r="H168" s="1" t="s">
        <v>97</v>
      </c>
      <c r="I168" s="1">
        <v>306</v>
      </c>
      <c r="J168" s="1">
        <v>22</v>
      </c>
      <c r="K168" s="1">
        <v>2</v>
      </c>
      <c r="L168" s="1">
        <v>0</v>
      </c>
    </row>
    <row r="169" spans="6:12" ht="28.8" x14ac:dyDescent="0.3">
      <c r="F169" s="1" t="s">
        <v>214</v>
      </c>
      <c r="G169" s="1" t="s">
        <v>131</v>
      </c>
      <c r="H169" s="1" t="s">
        <v>88</v>
      </c>
      <c r="I169" s="1">
        <v>280.14999999999998</v>
      </c>
      <c r="J169" s="1">
        <v>17</v>
      </c>
      <c r="K169" s="1">
        <v>2</v>
      </c>
      <c r="L169" s="1">
        <v>0</v>
      </c>
    </row>
    <row r="170" spans="6:12" ht="28.8" x14ac:dyDescent="0.3">
      <c r="F170" s="1" t="s">
        <v>214</v>
      </c>
      <c r="G170" s="1" t="s">
        <v>139</v>
      </c>
      <c r="H170" s="1" t="s">
        <v>62</v>
      </c>
      <c r="I170" s="1">
        <v>210.5</v>
      </c>
      <c r="J170" s="1">
        <v>10</v>
      </c>
      <c r="K170" s="1">
        <v>1</v>
      </c>
      <c r="L170" s="1">
        <v>0</v>
      </c>
    </row>
    <row r="171" spans="6:12" ht="28.8" x14ac:dyDescent="0.3">
      <c r="F171" s="1" t="s">
        <v>214</v>
      </c>
      <c r="G171" s="1" t="s">
        <v>131</v>
      </c>
      <c r="H171" s="1" t="s">
        <v>97</v>
      </c>
      <c r="I171" s="1">
        <v>187.5</v>
      </c>
      <c r="J171" s="1">
        <v>15</v>
      </c>
      <c r="K171" s="1">
        <v>1</v>
      </c>
      <c r="L171" s="1">
        <v>0</v>
      </c>
    </row>
    <row r="172" spans="6:12" ht="28.8" x14ac:dyDescent="0.3">
      <c r="F172" s="1" t="s">
        <v>214</v>
      </c>
      <c r="G172" s="1" t="s">
        <v>190</v>
      </c>
      <c r="H172" s="1" t="s">
        <v>88</v>
      </c>
      <c r="I172" s="1">
        <v>164</v>
      </c>
      <c r="J172" s="1">
        <v>5</v>
      </c>
      <c r="K172" s="1">
        <v>1</v>
      </c>
      <c r="L172" s="1">
        <v>0</v>
      </c>
    </row>
    <row r="173" spans="6:12" ht="28.8" x14ac:dyDescent="0.3">
      <c r="F173" s="1" t="s">
        <v>214</v>
      </c>
      <c r="G173" s="1" t="s">
        <v>120</v>
      </c>
      <c r="H173" s="1" t="s">
        <v>97</v>
      </c>
      <c r="I173" s="1">
        <v>159</v>
      </c>
      <c r="J173" s="1">
        <v>15</v>
      </c>
      <c r="K173" s="1">
        <v>1</v>
      </c>
      <c r="L173" s="1">
        <v>0</v>
      </c>
    </row>
    <row r="174" spans="6:12" ht="28.8" x14ac:dyDescent="0.3">
      <c r="F174" s="1" t="s">
        <v>214</v>
      </c>
      <c r="G174" s="1" t="s">
        <v>169</v>
      </c>
      <c r="H174" s="1" t="s">
        <v>56</v>
      </c>
      <c r="I174" s="1">
        <v>105</v>
      </c>
      <c r="J174" s="1">
        <v>15</v>
      </c>
      <c r="K174" s="1">
        <v>1</v>
      </c>
      <c r="L174" s="1">
        <v>0</v>
      </c>
    </row>
    <row r="175" spans="6:12" ht="28.8" x14ac:dyDescent="0.3">
      <c r="F175" s="1" t="s">
        <v>214</v>
      </c>
      <c r="G175" s="1" t="s">
        <v>190</v>
      </c>
      <c r="H175" s="1" t="s">
        <v>97</v>
      </c>
      <c r="I175" s="1">
        <v>22.35</v>
      </c>
      <c r="J175" s="1">
        <v>3</v>
      </c>
      <c r="K175" s="1">
        <v>1</v>
      </c>
      <c r="L175" s="1">
        <v>0</v>
      </c>
    </row>
    <row r="176" spans="6:12" ht="28.8" x14ac:dyDescent="0.3">
      <c r="F176" s="1" t="s">
        <v>215</v>
      </c>
      <c r="G176" s="1" t="s">
        <v>216</v>
      </c>
      <c r="H176" s="1"/>
      <c r="I176" s="1">
        <v>149984.20000000001</v>
      </c>
      <c r="J176" s="1">
        <v>623</v>
      </c>
      <c r="K176" s="1"/>
      <c r="L176" s="1">
        <v>11.07</v>
      </c>
    </row>
    <row r="177" spans="6:12" ht="57.6" x14ac:dyDescent="0.3">
      <c r="F177" s="1" t="s">
        <v>215</v>
      </c>
      <c r="G177" s="1" t="s">
        <v>217</v>
      </c>
      <c r="H177" s="1"/>
      <c r="I177" s="1">
        <v>87736.4</v>
      </c>
      <c r="J177" s="1">
        <v>746</v>
      </c>
      <c r="K177" s="1"/>
      <c r="L177" s="1">
        <v>6.48</v>
      </c>
    </row>
    <row r="178" spans="6:12" ht="43.2" x14ac:dyDescent="0.3">
      <c r="F178" s="1" t="s">
        <v>215</v>
      </c>
      <c r="G178" s="1" t="s">
        <v>218</v>
      </c>
      <c r="H178" s="1"/>
      <c r="I178" s="1">
        <v>76296</v>
      </c>
      <c r="J178" s="1">
        <v>1496</v>
      </c>
      <c r="K178" s="1"/>
      <c r="L178" s="1">
        <v>5.63</v>
      </c>
    </row>
    <row r="179" spans="6:12" ht="43.2" x14ac:dyDescent="0.3">
      <c r="F179" s="1" t="s">
        <v>215</v>
      </c>
      <c r="G179" s="1" t="s">
        <v>219</v>
      </c>
      <c r="H179" s="1"/>
      <c r="I179" s="1">
        <v>50286</v>
      </c>
      <c r="J179" s="1">
        <v>1577</v>
      </c>
      <c r="K179" s="1"/>
      <c r="L179" s="1">
        <v>3.71</v>
      </c>
    </row>
    <row r="180" spans="6:12" ht="28.8" x14ac:dyDescent="0.3">
      <c r="F180" s="1" t="s">
        <v>215</v>
      </c>
      <c r="G180" s="1" t="s">
        <v>220</v>
      </c>
      <c r="H180" s="1"/>
      <c r="I180" s="1">
        <v>49827.9</v>
      </c>
      <c r="J180" s="1">
        <v>1083</v>
      </c>
      <c r="K180" s="1"/>
      <c r="L180" s="1">
        <v>3.68</v>
      </c>
    </row>
    <row r="181" spans="6:12" ht="43.2" x14ac:dyDescent="0.3">
      <c r="F181" s="1" t="s">
        <v>215</v>
      </c>
      <c r="G181" s="1" t="s">
        <v>221</v>
      </c>
      <c r="H181" s="1"/>
      <c r="I181" s="1">
        <v>45121.2</v>
      </c>
      <c r="J181" s="1">
        <v>1263</v>
      </c>
      <c r="K181" s="1"/>
      <c r="L181" s="1">
        <v>3.33</v>
      </c>
    </row>
    <row r="182" spans="6:12" ht="43.2" x14ac:dyDescent="0.3">
      <c r="F182" s="1" t="s">
        <v>215</v>
      </c>
      <c r="G182" s="1" t="s">
        <v>222</v>
      </c>
      <c r="H182" s="1"/>
      <c r="I182" s="1">
        <v>44742.6</v>
      </c>
      <c r="J182" s="1">
        <v>886</v>
      </c>
      <c r="K182" s="1"/>
      <c r="L182" s="1">
        <v>3.3</v>
      </c>
    </row>
    <row r="183" spans="6:12" ht="28.8" x14ac:dyDescent="0.3">
      <c r="F183" s="1" t="s">
        <v>215</v>
      </c>
      <c r="G183" s="1" t="s">
        <v>223</v>
      </c>
      <c r="H183" s="1"/>
      <c r="I183" s="1">
        <v>35482.199999999997</v>
      </c>
      <c r="J183" s="1">
        <v>978</v>
      </c>
      <c r="K183" s="1"/>
      <c r="L183" s="1">
        <v>2.62</v>
      </c>
    </row>
    <row r="184" spans="6:12" ht="28.8" x14ac:dyDescent="0.3">
      <c r="F184" s="1" t="s">
        <v>215</v>
      </c>
      <c r="G184" s="1" t="s">
        <v>224</v>
      </c>
      <c r="H184" s="1"/>
      <c r="I184" s="1">
        <v>31987.5</v>
      </c>
      <c r="J184" s="1">
        <v>539</v>
      </c>
      <c r="K184" s="1"/>
      <c r="L184" s="1">
        <v>2.36</v>
      </c>
    </row>
    <row r="185" spans="6:12" ht="43.2" x14ac:dyDescent="0.3">
      <c r="F185" s="1" t="s">
        <v>215</v>
      </c>
      <c r="G185" s="1" t="s">
        <v>225</v>
      </c>
      <c r="H185" s="1"/>
      <c r="I185" s="1">
        <v>26865.599999999999</v>
      </c>
      <c r="J185" s="1">
        <v>640</v>
      </c>
      <c r="K185" s="1"/>
      <c r="L185" s="1">
        <v>1.98</v>
      </c>
    </row>
    <row r="186" spans="6:12" ht="43.2" x14ac:dyDescent="0.3">
      <c r="F186" s="1" t="s">
        <v>215</v>
      </c>
      <c r="G186" s="1" t="s">
        <v>226</v>
      </c>
      <c r="H186" s="1"/>
      <c r="I186" s="1">
        <v>25738.799999999999</v>
      </c>
      <c r="J186" s="1">
        <v>806</v>
      </c>
      <c r="K186" s="1"/>
      <c r="L186" s="1">
        <v>1.9</v>
      </c>
    </row>
    <row r="187" spans="6:12" ht="28.8" x14ac:dyDescent="0.3">
      <c r="F187" s="1" t="s">
        <v>215</v>
      </c>
      <c r="G187" s="1" t="s">
        <v>227</v>
      </c>
      <c r="H187" s="1"/>
      <c r="I187" s="1">
        <v>25079.200000000001</v>
      </c>
      <c r="J187" s="1">
        <v>580</v>
      </c>
      <c r="K187" s="1"/>
      <c r="L187" s="1">
        <v>1.85</v>
      </c>
    </row>
    <row r="188" spans="6:12" ht="28.8" x14ac:dyDescent="0.3">
      <c r="F188" s="1" t="s">
        <v>215</v>
      </c>
      <c r="G188" s="1" t="s">
        <v>228</v>
      </c>
      <c r="H188" s="1"/>
      <c r="I188" s="1">
        <v>24307.200000000001</v>
      </c>
      <c r="J188" s="1">
        <v>714</v>
      </c>
      <c r="K188" s="1"/>
      <c r="L188" s="1">
        <v>1.79</v>
      </c>
    </row>
    <row r="189" spans="6:12" ht="57.6" x14ac:dyDescent="0.3">
      <c r="F189" s="1" t="s">
        <v>215</v>
      </c>
      <c r="G189" s="1" t="s">
        <v>229</v>
      </c>
      <c r="H189" s="1"/>
      <c r="I189" s="1">
        <v>23635.8</v>
      </c>
      <c r="J189" s="1">
        <v>313</v>
      </c>
      <c r="K189" s="1"/>
      <c r="L189" s="1">
        <v>1.75</v>
      </c>
    </row>
    <row r="190" spans="6:12" ht="57.6" x14ac:dyDescent="0.3">
      <c r="F190" s="1" t="s">
        <v>215</v>
      </c>
      <c r="G190" s="1" t="s">
        <v>230</v>
      </c>
      <c r="H190" s="1"/>
      <c r="I190" s="1">
        <v>23009</v>
      </c>
      <c r="J190" s="1">
        <v>740</v>
      </c>
      <c r="K190" s="1"/>
      <c r="L190" s="1">
        <v>1.7</v>
      </c>
    </row>
    <row r="191" spans="6:12" ht="72" x14ac:dyDescent="0.3">
      <c r="F191" s="1" t="s">
        <v>215</v>
      </c>
      <c r="G191" s="1" t="s">
        <v>231</v>
      </c>
      <c r="H191" s="1"/>
      <c r="I191" s="1">
        <v>22464</v>
      </c>
      <c r="J191" s="1">
        <v>763</v>
      </c>
      <c r="K191" s="1"/>
      <c r="L191" s="1">
        <v>1.66</v>
      </c>
    </row>
    <row r="192" spans="6:12" x14ac:dyDescent="0.3">
      <c r="F192" s="1" t="s">
        <v>215</v>
      </c>
      <c r="G192" s="1" t="s">
        <v>232</v>
      </c>
      <c r="H192" s="1"/>
      <c r="I192" s="1">
        <v>22140.2</v>
      </c>
      <c r="J192" s="1">
        <v>742</v>
      </c>
      <c r="K192" s="1"/>
      <c r="L192" s="1">
        <v>1.63</v>
      </c>
    </row>
    <row r="193" spans="6:12" ht="43.2" x14ac:dyDescent="0.3">
      <c r="F193" s="1" t="s">
        <v>215</v>
      </c>
      <c r="G193" s="1" t="s">
        <v>233</v>
      </c>
      <c r="H193" s="1"/>
      <c r="I193" s="1">
        <v>21534.9</v>
      </c>
      <c r="J193" s="1">
        <v>753</v>
      </c>
      <c r="K193" s="1"/>
      <c r="L193" s="1">
        <v>1.59</v>
      </c>
    </row>
    <row r="194" spans="6:12" ht="28.8" x14ac:dyDescent="0.3">
      <c r="F194" s="1" t="s">
        <v>215</v>
      </c>
      <c r="G194" s="1" t="s">
        <v>234</v>
      </c>
      <c r="H194" s="1"/>
      <c r="I194" s="1">
        <v>21510.2</v>
      </c>
      <c r="J194" s="1">
        <v>722</v>
      </c>
      <c r="K194" s="1"/>
      <c r="L194" s="1">
        <v>1.59</v>
      </c>
    </row>
    <row r="195" spans="6:12" ht="28.8" x14ac:dyDescent="0.3">
      <c r="F195" s="1" t="s">
        <v>215</v>
      </c>
      <c r="G195" s="1" t="s">
        <v>235</v>
      </c>
      <c r="H195" s="1"/>
      <c r="I195" s="1">
        <v>20876.5</v>
      </c>
      <c r="J195" s="1">
        <v>1057</v>
      </c>
      <c r="K195" s="1"/>
      <c r="L195" s="1">
        <v>1.54</v>
      </c>
    </row>
    <row r="196" spans="6:12" ht="28.8" x14ac:dyDescent="0.3">
      <c r="F196" s="1" t="s">
        <v>215</v>
      </c>
      <c r="G196" s="1" t="s">
        <v>236</v>
      </c>
      <c r="H196" s="1"/>
      <c r="I196" s="1">
        <v>19512</v>
      </c>
      <c r="J196" s="1">
        <v>903</v>
      </c>
      <c r="K196" s="1"/>
      <c r="L196" s="1">
        <v>1.44</v>
      </c>
    </row>
    <row r="197" spans="6:12" ht="43.2" x14ac:dyDescent="0.3">
      <c r="F197" s="1" t="s">
        <v>215</v>
      </c>
      <c r="G197" s="1" t="s">
        <v>237</v>
      </c>
      <c r="H197" s="1"/>
      <c r="I197" s="1">
        <v>19048.3</v>
      </c>
      <c r="J197" s="1">
        <v>1103</v>
      </c>
      <c r="K197" s="1"/>
      <c r="L197" s="1">
        <v>1.41</v>
      </c>
    </row>
    <row r="198" spans="6:12" x14ac:dyDescent="0.3">
      <c r="F198" s="1" t="s">
        <v>215</v>
      </c>
      <c r="G198" s="1" t="s">
        <v>238</v>
      </c>
      <c r="H198" s="1"/>
      <c r="I198" s="1">
        <v>18748.05</v>
      </c>
      <c r="J198" s="1">
        <v>1158</v>
      </c>
      <c r="K198" s="1"/>
      <c r="L198" s="1">
        <v>1.38</v>
      </c>
    </row>
    <row r="199" spans="6:12" x14ac:dyDescent="0.3">
      <c r="F199" s="1" t="s">
        <v>215</v>
      </c>
      <c r="G199" s="1" t="s">
        <v>239</v>
      </c>
      <c r="H199" s="1"/>
      <c r="I199" s="1">
        <v>18559.2</v>
      </c>
      <c r="J199" s="1">
        <v>1057</v>
      </c>
      <c r="K199" s="1"/>
      <c r="L199" s="1">
        <v>1.37</v>
      </c>
    </row>
    <row r="200" spans="6:12" ht="28.8" x14ac:dyDescent="0.3">
      <c r="F200" s="1" t="s">
        <v>215</v>
      </c>
      <c r="G200" s="1" t="s">
        <v>240</v>
      </c>
      <c r="H200" s="1"/>
      <c r="I200" s="1">
        <v>17696.3</v>
      </c>
      <c r="J200" s="1">
        <v>445</v>
      </c>
      <c r="K200" s="1"/>
      <c r="L200" s="1">
        <v>1.31</v>
      </c>
    </row>
    <row r="201" spans="6:12" ht="28.8" x14ac:dyDescent="0.3">
      <c r="F201" s="1" t="s">
        <v>215</v>
      </c>
      <c r="G201" s="1" t="s">
        <v>241</v>
      </c>
      <c r="H201" s="1"/>
      <c r="I201" s="1">
        <v>16794</v>
      </c>
      <c r="J201" s="1">
        <v>981</v>
      </c>
      <c r="K201" s="1"/>
      <c r="L201" s="1">
        <v>1.24</v>
      </c>
    </row>
    <row r="202" spans="6:12" ht="28.8" x14ac:dyDescent="0.3">
      <c r="F202" s="1" t="s">
        <v>215</v>
      </c>
      <c r="G202" s="1" t="s">
        <v>242</v>
      </c>
      <c r="H202" s="1"/>
      <c r="I202" s="1">
        <v>16438.8</v>
      </c>
      <c r="J202" s="1">
        <v>603</v>
      </c>
      <c r="K202" s="1"/>
      <c r="L202" s="1">
        <v>1.21</v>
      </c>
    </row>
    <row r="203" spans="6:12" ht="28.8" x14ac:dyDescent="0.3">
      <c r="F203" s="1" t="s">
        <v>215</v>
      </c>
      <c r="G203" s="1" t="s">
        <v>243</v>
      </c>
      <c r="H203" s="1"/>
      <c r="I203" s="1">
        <v>16172.5</v>
      </c>
      <c r="J203" s="1">
        <v>1397</v>
      </c>
      <c r="K203" s="1"/>
      <c r="L203" s="1">
        <v>1.19</v>
      </c>
    </row>
    <row r="204" spans="6:12" ht="43.2" x14ac:dyDescent="0.3">
      <c r="F204" s="1" t="s">
        <v>215</v>
      </c>
      <c r="G204" s="1" t="s">
        <v>244</v>
      </c>
      <c r="H204" s="1"/>
      <c r="I204" s="1">
        <v>15231.5</v>
      </c>
      <c r="J204" s="1">
        <v>365</v>
      </c>
      <c r="K204" s="1"/>
      <c r="L204" s="1">
        <v>1.1200000000000001</v>
      </c>
    </row>
    <row r="205" spans="6:12" ht="43.2" x14ac:dyDescent="0.3">
      <c r="F205" s="1" t="s">
        <v>215</v>
      </c>
      <c r="G205" s="1" t="s">
        <v>245</v>
      </c>
      <c r="H205" s="1"/>
      <c r="I205" s="1">
        <v>14775.54</v>
      </c>
      <c r="J205" s="1">
        <v>612</v>
      </c>
      <c r="K205" s="1"/>
      <c r="L205" s="1">
        <v>1.0900000000000001</v>
      </c>
    </row>
    <row r="206" spans="6:12" ht="57.6" x14ac:dyDescent="0.3">
      <c r="F206" s="1" t="s">
        <v>215</v>
      </c>
      <c r="G206" s="1" t="s">
        <v>246</v>
      </c>
      <c r="H206" s="1"/>
      <c r="I206" s="1">
        <v>14607</v>
      </c>
      <c r="J206" s="1">
        <v>745</v>
      </c>
      <c r="K206" s="1"/>
      <c r="L206" s="1">
        <v>1.08</v>
      </c>
    </row>
    <row r="207" spans="6:12" x14ac:dyDescent="0.3">
      <c r="F207" s="1" t="s">
        <v>215</v>
      </c>
      <c r="G207" s="1" t="s">
        <v>247</v>
      </c>
      <c r="H207" s="1"/>
      <c r="I207" s="1">
        <v>14542.6</v>
      </c>
      <c r="J207" s="1">
        <v>805</v>
      </c>
      <c r="K207" s="1"/>
      <c r="L207" s="1">
        <v>1.07</v>
      </c>
    </row>
    <row r="208" spans="6:12" ht="28.8" x14ac:dyDescent="0.3">
      <c r="F208" s="1" t="s">
        <v>215</v>
      </c>
      <c r="G208" s="1" t="s">
        <v>248</v>
      </c>
      <c r="H208" s="1"/>
      <c r="I208" s="1">
        <v>14536.8</v>
      </c>
      <c r="J208" s="1">
        <v>883</v>
      </c>
      <c r="K208" s="1"/>
      <c r="L208" s="1">
        <v>1.07</v>
      </c>
    </row>
    <row r="209" spans="6:12" x14ac:dyDescent="0.3">
      <c r="F209" s="1" t="s">
        <v>215</v>
      </c>
      <c r="G209" s="1" t="s">
        <v>249</v>
      </c>
      <c r="H209" s="1"/>
      <c r="I209" s="1">
        <v>14277.6</v>
      </c>
      <c r="J209" s="1">
        <v>828</v>
      </c>
      <c r="K209" s="1"/>
      <c r="L209" s="1">
        <v>1.05</v>
      </c>
    </row>
    <row r="210" spans="6:12" ht="28.8" x14ac:dyDescent="0.3">
      <c r="F210" s="1" t="s">
        <v>215</v>
      </c>
      <c r="G210" s="1" t="s">
        <v>250</v>
      </c>
      <c r="H210" s="1"/>
      <c r="I210" s="1">
        <v>13902</v>
      </c>
      <c r="J210" s="1">
        <v>706</v>
      </c>
      <c r="K210" s="1"/>
      <c r="L210" s="1">
        <v>1.03</v>
      </c>
    </row>
    <row r="211" spans="6:12" ht="57.6" x14ac:dyDescent="0.3">
      <c r="F211" s="1" t="s">
        <v>215</v>
      </c>
      <c r="G211" s="1" t="s">
        <v>251</v>
      </c>
      <c r="H211" s="1"/>
      <c r="I211" s="1">
        <v>13760</v>
      </c>
      <c r="J211" s="1">
        <v>372</v>
      </c>
      <c r="K211" s="1"/>
      <c r="L211" s="1">
        <v>1.02</v>
      </c>
    </row>
    <row r="212" spans="6:12" ht="28.8" x14ac:dyDescent="0.3">
      <c r="F212" s="1" t="s">
        <v>215</v>
      </c>
      <c r="G212" s="1" t="s">
        <v>252</v>
      </c>
      <c r="H212" s="1"/>
      <c r="I212" s="1">
        <v>13150.8</v>
      </c>
      <c r="J212" s="1">
        <v>793</v>
      </c>
      <c r="K212" s="1"/>
      <c r="L212" s="1">
        <v>0.97</v>
      </c>
    </row>
    <row r="213" spans="6:12" ht="57.6" x14ac:dyDescent="0.3">
      <c r="F213" s="1" t="s">
        <v>215</v>
      </c>
      <c r="G213" s="1" t="s">
        <v>253</v>
      </c>
      <c r="H213" s="1"/>
      <c r="I213" s="1">
        <v>12866.8</v>
      </c>
      <c r="J213" s="1">
        <v>344</v>
      </c>
      <c r="K213" s="1"/>
      <c r="L213" s="1">
        <v>0.95</v>
      </c>
    </row>
    <row r="214" spans="6:12" ht="28.8" x14ac:dyDescent="0.3">
      <c r="F214" s="1" t="s">
        <v>215</v>
      </c>
      <c r="G214" s="1" t="s">
        <v>254</v>
      </c>
      <c r="H214" s="1"/>
      <c r="I214" s="1">
        <v>11472</v>
      </c>
      <c r="J214" s="1">
        <v>817</v>
      </c>
      <c r="K214" s="1"/>
      <c r="L214" s="1">
        <v>0.85</v>
      </c>
    </row>
    <row r="215" spans="6:12" ht="28.8" x14ac:dyDescent="0.3">
      <c r="F215" s="1" t="s">
        <v>215</v>
      </c>
      <c r="G215" s="1" t="s">
        <v>255</v>
      </c>
      <c r="H215" s="1"/>
      <c r="I215" s="1">
        <v>10524.2</v>
      </c>
      <c r="J215" s="1">
        <v>601</v>
      </c>
      <c r="K215" s="1"/>
      <c r="L215" s="1">
        <v>0.78</v>
      </c>
    </row>
    <row r="216" spans="6:12" ht="72" x14ac:dyDescent="0.3">
      <c r="F216" s="1" t="s">
        <v>215</v>
      </c>
      <c r="G216" s="1" t="s">
        <v>256</v>
      </c>
      <c r="H216" s="1"/>
      <c r="I216" s="1">
        <v>9685</v>
      </c>
      <c r="J216" s="1">
        <v>791</v>
      </c>
      <c r="K216" s="1"/>
      <c r="L216" s="1">
        <v>0.72</v>
      </c>
    </row>
    <row r="217" spans="6:12" ht="43.2" x14ac:dyDescent="0.3">
      <c r="F217" s="1" t="s">
        <v>215</v>
      </c>
      <c r="G217" s="1" t="s">
        <v>257</v>
      </c>
      <c r="H217" s="1"/>
      <c r="I217" s="1">
        <v>9636</v>
      </c>
      <c r="J217" s="1">
        <v>1016</v>
      </c>
      <c r="K217" s="1"/>
      <c r="L217" s="1">
        <v>0.71</v>
      </c>
    </row>
    <row r="218" spans="6:12" x14ac:dyDescent="0.3">
      <c r="F218" s="1" t="s">
        <v>215</v>
      </c>
      <c r="G218" s="1" t="s">
        <v>258</v>
      </c>
      <c r="H218" s="1"/>
      <c r="I218" s="1">
        <v>9500</v>
      </c>
      <c r="J218" s="1">
        <v>520</v>
      </c>
      <c r="K218" s="1"/>
      <c r="L218" s="1">
        <v>0.7</v>
      </c>
    </row>
    <row r="219" spans="6:12" ht="72" x14ac:dyDescent="0.3">
      <c r="F219" s="1" t="s">
        <v>215</v>
      </c>
      <c r="G219" s="1" t="s">
        <v>259</v>
      </c>
      <c r="H219" s="1"/>
      <c r="I219" s="1">
        <v>9424.7999999999993</v>
      </c>
      <c r="J219" s="1">
        <v>453</v>
      </c>
      <c r="K219" s="1"/>
      <c r="L219" s="1">
        <v>0.7</v>
      </c>
    </row>
    <row r="220" spans="6:12" ht="43.2" x14ac:dyDescent="0.3">
      <c r="F220" s="1" t="s">
        <v>215</v>
      </c>
      <c r="G220" s="1" t="s">
        <v>260</v>
      </c>
      <c r="H220" s="1"/>
      <c r="I220" s="1">
        <v>9362.5</v>
      </c>
      <c r="J220" s="1">
        <v>799</v>
      </c>
      <c r="K220" s="1"/>
      <c r="L220" s="1">
        <v>0.69</v>
      </c>
    </row>
    <row r="221" spans="6:12" ht="57.6" x14ac:dyDescent="0.3">
      <c r="F221" s="1" t="s">
        <v>215</v>
      </c>
      <c r="G221" s="1" t="s">
        <v>261</v>
      </c>
      <c r="H221" s="1"/>
      <c r="I221" s="1">
        <v>9332.4</v>
      </c>
      <c r="J221" s="1">
        <v>697</v>
      </c>
      <c r="K221" s="1"/>
      <c r="L221" s="1">
        <v>0.69</v>
      </c>
    </row>
    <row r="222" spans="6:12" ht="43.2" x14ac:dyDescent="0.3">
      <c r="F222" s="1" t="s">
        <v>215</v>
      </c>
      <c r="G222" s="1" t="s">
        <v>262</v>
      </c>
      <c r="H222" s="1"/>
      <c r="I222" s="1">
        <v>9171.2000000000007</v>
      </c>
      <c r="J222" s="1">
        <v>297</v>
      </c>
      <c r="K222" s="1"/>
      <c r="L222" s="1">
        <v>0.68</v>
      </c>
    </row>
    <row r="223" spans="6:12" ht="72" x14ac:dyDescent="0.3">
      <c r="F223" s="1" t="s">
        <v>215</v>
      </c>
      <c r="G223" s="1" t="s">
        <v>263</v>
      </c>
      <c r="H223" s="1"/>
      <c r="I223" s="1">
        <v>9098.1</v>
      </c>
      <c r="J223" s="1">
        <v>981</v>
      </c>
      <c r="K223" s="1"/>
      <c r="L223" s="1">
        <v>0.67</v>
      </c>
    </row>
    <row r="224" spans="6:12" ht="43.2" x14ac:dyDescent="0.3">
      <c r="F224" s="1" t="s">
        <v>215</v>
      </c>
      <c r="G224" s="1" t="s">
        <v>264</v>
      </c>
      <c r="H224" s="1"/>
      <c r="I224" s="1">
        <v>8827</v>
      </c>
      <c r="J224" s="1">
        <v>95</v>
      </c>
      <c r="K224" s="1"/>
      <c r="L224" s="1">
        <v>0.65</v>
      </c>
    </row>
    <row r="225" spans="6:12" ht="57.6" x14ac:dyDescent="0.3">
      <c r="F225" s="1" t="s">
        <v>215</v>
      </c>
      <c r="G225" s="1" t="s">
        <v>265</v>
      </c>
      <c r="H225" s="1"/>
      <c r="I225" s="1">
        <v>8650.5499999999993</v>
      </c>
      <c r="J225" s="1">
        <v>1155</v>
      </c>
      <c r="K225" s="1"/>
      <c r="L225" s="1">
        <v>0.64</v>
      </c>
    </row>
    <row r="226" spans="6:12" x14ac:dyDescent="0.3">
      <c r="F226" s="1" t="s">
        <v>215</v>
      </c>
      <c r="G226" s="1" t="s">
        <v>266</v>
      </c>
      <c r="H226" s="1"/>
      <c r="I226" s="1">
        <v>8630.4</v>
      </c>
      <c r="J226" s="1">
        <v>404</v>
      </c>
      <c r="K226" s="1"/>
      <c r="L226" s="1">
        <v>0.64</v>
      </c>
    </row>
    <row r="227" spans="6:12" ht="28.8" x14ac:dyDescent="0.3">
      <c r="F227" s="1" t="s">
        <v>215</v>
      </c>
      <c r="G227" s="1" t="s">
        <v>267</v>
      </c>
      <c r="H227" s="1"/>
      <c r="I227" s="1">
        <v>7807.8</v>
      </c>
      <c r="J227" s="1">
        <v>434</v>
      </c>
      <c r="K227" s="1"/>
      <c r="L227" s="1">
        <v>0.57999999999999996</v>
      </c>
    </row>
    <row r="228" spans="6:12" ht="72" x14ac:dyDescent="0.3">
      <c r="F228" s="1" t="s">
        <v>215</v>
      </c>
      <c r="G228" s="1" t="s">
        <v>268</v>
      </c>
      <c r="H228" s="1"/>
      <c r="I228" s="1">
        <v>7345</v>
      </c>
      <c r="J228" s="1">
        <v>301</v>
      </c>
      <c r="K228" s="1"/>
      <c r="L228" s="1">
        <v>0.54</v>
      </c>
    </row>
    <row r="229" spans="6:12" ht="43.2" x14ac:dyDescent="0.3">
      <c r="F229" s="1" t="s">
        <v>215</v>
      </c>
      <c r="G229" s="1" t="s">
        <v>269</v>
      </c>
      <c r="H229" s="1"/>
      <c r="I229" s="1">
        <v>7232.4</v>
      </c>
      <c r="J229" s="1">
        <v>348</v>
      </c>
      <c r="K229" s="1"/>
      <c r="L229" s="1">
        <v>0.53</v>
      </c>
    </row>
    <row r="230" spans="6:12" ht="28.8" x14ac:dyDescent="0.3">
      <c r="F230" s="1" t="s">
        <v>215</v>
      </c>
      <c r="G230" s="1" t="s">
        <v>270</v>
      </c>
      <c r="H230" s="1"/>
      <c r="I230" s="1">
        <v>6678</v>
      </c>
      <c r="J230" s="1">
        <v>506</v>
      </c>
      <c r="K230" s="1"/>
      <c r="L230" s="1">
        <v>0.49</v>
      </c>
    </row>
    <row r="231" spans="6:12" ht="57.6" x14ac:dyDescent="0.3">
      <c r="F231" s="1" t="s">
        <v>215</v>
      </c>
      <c r="G231" s="1" t="s">
        <v>271</v>
      </c>
      <c r="H231" s="1"/>
      <c r="I231" s="1">
        <v>6664.75</v>
      </c>
      <c r="J231" s="1">
        <v>534</v>
      </c>
      <c r="K231" s="1"/>
      <c r="L231" s="1">
        <v>0.49</v>
      </c>
    </row>
    <row r="232" spans="6:12" ht="43.2" x14ac:dyDescent="0.3">
      <c r="F232" s="1" t="s">
        <v>215</v>
      </c>
      <c r="G232" s="1" t="s">
        <v>272</v>
      </c>
      <c r="H232" s="1"/>
      <c r="I232" s="1">
        <v>6159.5</v>
      </c>
      <c r="J232" s="1">
        <v>723</v>
      </c>
      <c r="K232" s="1"/>
      <c r="L232" s="1">
        <v>0.45</v>
      </c>
    </row>
    <row r="233" spans="6:12" x14ac:dyDescent="0.3">
      <c r="F233" s="1" t="s">
        <v>215</v>
      </c>
      <c r="G233" s="1" t="s">
        <v>273</v>
      </c>
      <c r="H233" s="1"/>
      <c r="I233" s="1">
        <v>6144</v>
      </c>
      <c r="J233" s="1">
        <v>548</v>
      </c>
      <c r="K233" s="1"/>
      <c r="L233" s="1">
        <v>0.45</v>
      </c>
    </row>
    <row r="234" spans="6:12" ht="57.6" x14ac:dyDescent="0.3">
      <c r="F234" s="1" t="s">
        <v>215</v>
      </c>
      <c r="G234" s="1" t="s">
        <v>274</v>
      </c>
      <c r="H234" s="1"/>
      <c r="I234" s="1">
        <v>5801.15</v>
      </c>
      <c r="J234" s="1">
        <v>298</v>
      </c>
      <c r="K234" s="1"/>
      <c r="L234" s="1">
        <v>0.43</v>
      </c>
    </row>
    <row r="235" spans="6:12" x14ac:dyDescent="0.3">
      <c r="F235" s="1" t="s">
        <v>215</v>
      </c>
      <c r="G235" s="1" t="s">
        <v>275</v>
      </c>
      <c r="H235" s="1"/>
      <c r="I235" s="1">
        <v>5234.3999999999996</v>
      </c>
      <c r="J235" s="1">
        <v>891</v>
      </c>
      <c r="K235" s="1"/>
      <c r="L235" s="1">
        <v>0.39</v>
      </c>
    </row>
    <row r="236" spans="6:12" ht="28.8" x14ac:dyDescent="0.3">
      <c r="F236" s="1" t="s">
        <v>215</v>
      </c>
      <c r="G236" s="1" t="s">
        <v>276</v>
      </c>
      <c r="H236" s="1"/>
      <c r="I236" s="1">
        <v>5121</v>
      </c>
      <c r="J236" s="1">
        <v>755</v>
      </c>
      <c r="K236" s="1"/>
      <c r="L236" s="1">
        <v>0.38</v>
      </c>
    </row>
    <row r="237" spans="6:12" ht="28.8" x14ac:dyDescent="0.3">
      <c r="F237" s="1" t="s">
        <v>215</v>
      </c>
      <c r="G237" s="1" t="s">
        <v>277</v>
      </c>
      <c r="H237" s="1"/>
      <c r="I237" s="1">
        <v>4840.2</v>
      </c>
      <c r="J237" s="1">
        <v>580</v>
      </c>
      <c r="K237" s="1"/>
      <c r="L237" s="1">
        <v>0.36</v>
      </c>
    </row>
    <row r="238" spans="6:12" ht="43.2" x14ac:dyDescent="0.3">
      <c r="F238" s="1" t="s">
        <v>215</v>
      </c>
      <c r="G238" s="1" t="s">
        <v>278</v>
      </c>
      <c r="H238" s="1"/>
      <c r="I238" s="1">
        <v>4782.6000000000004</v>
      </c>
      <c r="J238" s="1">
        <v>1125</v>
      </c>
      <c r="K238" s="1"/>
      <c r="L238" s="1">
        <v>0.35</v>
      </c>
    </row>
    <row r="239" spans="6:12" ht="28.8" x14ac:dyDescent="0.3">
      <c r="F239" s="1" t="s">
        <v>215</v>
      </c>
      <c r="G239" s="1" t="s">
        <v>279</v>
      </c>
      <c r="H239" s="1"/>
      <c r="I239" s="1">
        <v>4740.5</v>
      </c>
      <c r="J239" s="1">
        <v>508</v>
      </c>
      <c r="K239" s="1"/>
      <c r="L239" s="1">
        <v>0.35</v>
      </c>
    </row>
    <row r="240" spans="6:12" ht="28.8" x14ac:dyDescent="0.3">
      <c r="F240" s="1" t="s">
        <v>215</v>
      </c>
      <c r="G240" s="1" t="s">
        <v>280</v>
      </c>
      <c r="H240" s="1"/>
      <c r="I240" s="1">
        <v>4358.6000000000004</v>
      </c>
      <c r="J240" s="1">
        <v>485</v>
      </c>
      <c r="K240" s="1"/>
      <c r="L240" s="1">
        <v>0.32</v>
      </c>
    </row>
    <row r="241" spans="6:12" ht="28.8" x14ac:dyDescent="0.3">
      <c r="F241" s="1" t="s">
        <v>215</v>
      </c>
      <c r="G241" s="1" t="s">
        <v>281</v>
      </c>
      <c r="H241" s="1"/>
      <c r="I241" s="1">
        <v>4200</v>
      </c>
      <c r="J241" s="1">
        <v>293</v>
      </c>
      <c r="K241" s="1"/>
      <c r="L241" s="1">
        <v>0.31</v>
      </c>
    </row>
    <row r="242" spans="6:12" ht="57.6" x14ac:dyDescent="0.3">
      <c r="F242" s="1" t="s">
        <v>215</v>
      </c>
      <c r="G242" s="1" t="s">
        <v>282</v>
      </c>
      <c r="H242" s="1"/>
      <c r="I242" s="1">
        <v>4051.6</v>
      </c>
      <c r="J242" s="1">
        <v>318</v>
      </c>
      <c r="K242" s="1"/>
      <c r="L242" s="1">
        <v>0.3</v>
      </c>
    </row>
    <row r="243" spans="6:12" ht="57.6" x14ac:dyDescent="0.3">
      <c r="F243" s="1" t="s">
        <v>215</v>
      </c>
      <c r="G243" s="1" t="s">
        <v>283</v>
      </c>
      <c r="H243" s="1"/>
      <c r="I243" s="1">
        <v>3519</v>
      </c>
      <c r="J243" s="1">
        <v>239</v>
      </c>
      <c r="K243" s="1"/>
      <c r="L243" s="1">
        <v>0.26</v>
      </c>
    </row>
    <row r="244" spans="6:12" ht="28.8" x14ac:dyDescent="0.3">
      <c r="F244" s="1" t="s">
        <v>215</v>
      </c>
      <c r="G244" s="1" t="s">
        <v>284</v>
      </c>
      <c r="H244" s="1"/>
      <c r="I244" s="1">
        <v>3510</v>
      </c>
      <c r="J244" s="1">
        <v>235</v>
      </c>
      <c r="K244" s="1"/>
      <c r="L244" s="1">
        <v>0.26</v>
      </c>
    </row>
    <row r="245" spans="6:12" x14ac:dyDescent="0.3">
      <c r="F245" s="1" t="s">
        <v>215</v>
      </c>
      <c r="G245" s="1" t="s">
        <v>285</v>
      </c>
      <c r="H245" s="1"/>
      <c r="I245" s="1">
        <v>3383.8</v>
      </c>
      <c r="J245" s="1">
        <v>500</v>
      </c>
      <c r="K245" s="1"/>
      <c r="L245" s="1">
        <v>0.25</v>
      </c>
    </row>
    <row r="246" spans="6:12" ht="28.8" x14ac:dyDescent="0.3">
      <c r="F246" s="1" t="s">
        <v>215</v>
      </c>
      <c r="G246" s="1" t="s">
        <v>286</v>
      </c>
      <c r="H246" s="1"/>
      <c r="I246" s="1">
        <v>3080</v>
      </c>
      <c r="J246" s="1">
        <v>328</v>
      </c>
      <c r="K246" s="1"/>
      <c r="L246" s="1">
        <v>0.23</v>
      </c>
    </row>
    <row r="247" spans="6:12" ht="28.8" x14ac:dyDescent="0.3">
      <c r="F247" s="1" t="s">
        <v>215</v>
      </c>
      <c r="G247" s="1" t="s">
        <v>287</v>
      </c>
      <c r="H247" s="1"/>
      <c r="I247" s="1">
        <v>3047.2</v>
      </c>
      <c r="J247" s="1">
        <v>125</v>
      </c>
      <c r="K247" s="1"/>
      <c r="L247" s="1">
        <v>0.22</v>
      </c>
    </row>
    <row r="248" spans="6:12" ht="28.8" x14ac:dyDescent="0.3">
      <c r="F248" s="1" t="s">
        <v>215</v>
      </c>
      <c r="G248" s="1" t="s">
        <v>288</v>
      </c>
      <c r="H248" s="1"/>
      <c r="I248" s="1">
        <v>2566</v>
      </c>
      <c r="J248" s="1">
        <v>297</v>
      </c>
      <c r="K248" s="1"/>
      <c r="L248" s="1">
        <v>0.19</v>
      </c>
    </row>
    <row r="249" spans="6:12" ht="43.2" x14ac:dyDescent="0.3">
      <c r="F249" s="1" t="s">
        <v>215</v>
      </c>
      <c r="G249" s="1" t="s">
        <v>289</v>
      </c>
      <c r="H249" s="1"/>
      <c r="I249" s="1">
        <v>2562</v>
      </c>
      <c r="J249" s="1">
        <v>184</v>
      </c>
      <c r="K249" s="1"/>
      <c r="L249" s="1">
        <v>0.19</v>
      </c>
    </row>
    <row r="250" spans="6:12" ht="28.8" x14ac:dyDescent="0.3">
      <c r="F250" s="1" t="s">
        <v>215</v>
      </c>
      <c r="G250" s="1" t="s">
        <v>290</v>
      </c>
      <c r="H250" s="1"/>
      <c r="I250" s="1">
        <v>1813.5</v>
      </c>
      <c r="J250" s="1">
        <v>122</v>
      </c>
      <c r="K250" s="1"/>
      <c r="L250" s="1">
        <v>0.13</v>
      </c>
    </row>
    <row r="251" spans="6:12" x14ac:dyDescent="0.3">
      <c r="F251" s="1" t="s">
        <v>215</v>
      </c>
      <c r="G251" s="1" t="s">
        <v>291</v>
      </c>
      <c r="H251" s="1"/>
      <c r="I251" s="1">
        <v>1713.5</v>
      </c>
      <c r="J251" s="1">
        <v>755</v>
      </c>
      <c r="K251" s="1"/>
      <c r="L251" s="1">
        <v>0.13</v>
      </c>
    </row>
    <row r="252" spans="6:12" ht="28.8" x14ac:dyDescent="0.3">
      <c r="F252" s="1" t="s">
        <v>215</v>
      </c>
      <c r="G252" s="1" t="s">
        <v>292</v>
      </c>
      <c r="H252" s="1"/>
      <c r="I252" s="1">
        <v>1542.75</v>
      </c>
      <c r="J252" s="1">
        <v>138</v>
      </c>
      <c r="K252" s="1"/>
      <c r="L252" s="1">
        <v>0.11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1524-12C8-4BEF-9F3C-AEE3D395BF37}">
  <dimension ref="E1:Q90"/>
  <sheetViews>
    <sheetView zoomScaleNormal="100" workbookViewId="0">
      <selection activeCell="U3" sqref="U3"/>
    </sheetView>
  </sheetViews>
  <sheetFormatPr defaultRowHeight="14.4" x14ac:dyDescent="0.3"/>
  <cols>
    <col min="5" max="5" width="8.77734375" bestFit="1" customWidth="1"/>
    <col min="6" max="6" width="9.33203125" bestFit="1" customWidth="1"/>
    <col min="7" max="7" width="13.5546875" bestFit="1" customWidth="1"/>
    <col min="8" max="8" width="9.44140625" bestFit="1" customWidth="1"/>
    <col min="9" max="9" width="11.21875" bestFit="1" customWidth="1"/>
    <col min="10" max="10" width="8.5546875" bestFit="1" customWidth="1"/>
    <col min="11" max="11" width="13" bestFit="1" customWidth="1"/>
    <col min="12" max="12" width="12.33203125" bestFit="1" customWidth="1"/>
    <col min="16" max="16" width="18.6640625" bestFit="1" customWidth="1"/>
    <col min="17" max="17" width="18.33203125" bestFit="1" customWidth="1"/>
  </cols>
  <sheetData>
    <row r="1" spans="5:17" x14ac:dyDescent="0.3">
      <c r="F1" t="s">
        <v>112</v>
      </c>
      <c r="P1" s="5" t="s">
        <v>304</v>
      </c>
      <c r="Q1" s="6">
        <v>3</v>
      </c>
    </row>
    <row r="2" spans="5:17" x14ac:dyDescent="0.3">
      <c r="E2" t="s">
        <v>300</v>
      </c>
      <c r="F2" t="s">
        <v>301</v>
      </c>
      <c r="G2" t="s">
        <v>117</v>
      </c>
      <c r="H2" t="s">
        <v>302</v>
      </c>
      <c r="I2" t="s">
        <v>303</v>
      </c>
      <c r="J2" t="s">
        <v>304</v>
      </c>
      <c r="K2" t="s">
        <v>305</v>
      </c>
      <c r="L2" t="s">
        <v>306</v>
      </c>
      <c r="P2" s="5" t="s">
        <v>305</v>
      </c>
      <c r="Q2" t="s">
        <v>308</v>
      </c>
    </row>
    <row r="3" spans="5:17" ht="28.8" x14ac:dyDescent="0.3">
      <c r="E3" s="1" t="s">
        <v>79</v>
      </c>
      <c r="F3" s="1" t="s">
        <v>80</v>
      </c>
      <c r="G3" s="1" t="s">
        <v>122</v>
      </c>
      <c r="H3" s="1">
        <v>34</v>
      </c>
      <c r="I3" s="1">
        <v>1</v>
      </c>
      <c r="J3" s="1">
        <v>3</v>
      </c>
      <c r="K3" s="1">
        <v>3</v>
      </c>
      <c r="L3" s="1">
        <v>1</v>
      </c>
      <c r="P3" s="5" t="s">
        <v>306</v>
      </c>
      <c r="Q3" t="s">
        <v>308</v>
      </c>
    </row>
    <row r="4" spans="5:17" ht="28.8" x14ac:dyDescent="0.3">
      <c r="E4" s="1" t="s">
        <v>79</v>
      </c>
      <c r="F4" s="1" t="s">
        <v>80</v>
      </c>
      <c r="G4" s="1" t="s">
        <v>131</v>
      </c>
      <c r="H4" s="1">
        <v>20</v>
      </c>
      <c r="I4" s="1">
        <v>2</v>
      </c>
      <c r="J4" s="1">
        <v>1</v>
      </c>
      <c r="K4" s="1">
        <v>1</v>
      </c>
      <c r="L4" s="1">
        <v>1</v>
      </c>
    </row>
    <row r="5" spans="5:17" ht="28.8" x14ac:dyDescent="0.3">
      <c r="E5" s="1" t="s">
        <v>79</v>
      </c>
      <c r="F5" s="1" t="s">
        <v>80</v>
      </c>
      <c r="G5" s="1" t="s">
        <v>131</v>
      </c>
      <c r="H5" s="1">
        <v>21</v>
      </c>
      <c r="I5" s="1">
        <v>2</v>
      </c>
      <c r="J5" s="1">
        <v>2</v>
      </c>
      <c r="K5" s="1">
        <v>2</v>
      </c>
      <c r="L5" s="1">
        <v>2</v>
      </c>
      <c r="P5" s="5" t="s">
        <v>11</v>
      </c>
      <c r="Q5" t="s">
        <v>307</v>
      </c>
    </row>
    <row r="6" spans="5:17" ht="28.8" x14ac:dyDescent="0.3">
      <c r="E6" s="1" t="s">
        <v>24</v>
      </c>
      <c r="F6" s="1" t="s">
        <v>25</v>
      </c>
      <c r="G6" s="1" t="s">
        <v>122</v>
      </c>
      <c r="H6" s="1">
        <v>24</v>
      </c>
      <c r="I6" s="1">
        <v>4</v>
      </c>
      <c r="J6" s="1">
        <v>1</v>
      </c>
      <c r="K6" s="1">
        <v>1</v>
      </c>
      <c r="L6" s="1">
        <v>1</v>
      </c>
      <c r="P6" s="6" t="s">
        <v>79</v>
      </c>
      <c r="Q6" s="7">
        <v>1</v>
      </c>
    </row>
    <row r="7" spans="5:17" ht="28.8" x14ac:dyDescent="0.3">
      <c r="E7" s="1" t="s">
        <v>24</v>
      </c>
      <c r="F7" s="1" t="s">
        <v>25</v>
      </c>
      <c r="G7" s="1" t="s">
        <v>121</v>
      </c>
      <c r="H7" s="1">
        <v>31</v>
      </c>
      <c r="I7" s="1">
        <v>4</v>
      </c>
      <c r="J7" s="1">
        <v>3</v>
      </c>
      <c r="K7" s="1">
        <v>3</v>
      </c>
      <c r="L7" s="1">
        <v>1</v>
      </c>
      <c r="P7" s="8" t="s">
        <v>80</v>
      </c>
      <c r="Q7" s="7">
        <v>1</v>
      </c>
    </row>
    <row r="8" spans="5:17" ht="28.8" x14ac:dyDescent="0.3">
      <c r="E8" s="1" t="s">
        <v>24</v>
      </c>
      <c r="F8" s="1" t="s">
        <v>25</v>
      </c>
      <c r="G8" s="1" t="s">
        <v>190</v>
      </c>
      <c r="H8" s="1">
        <v>17</v>
      </c>
      <c r="I8" s="1">
        <v>4</v>
      </c>
      <c r="J8" s="1">
        <v>2</v>
      </c>
      <c r="K8" s="1">
        <v>2</v>
      </c>
      <c r="L8" s="1">
        <v>1</v>
      </c>
      <c r="P8" s="9" t="s">
        <v>122</v>
      </c>
      <c r="Q8" s="7">
        <v>1</v>
      </c>
    </row>
    <row r="9" spans="5:17" ht="28.8" x14ac:dyDescent="0.3">
      <c r="E9" s="1" t="s">
        <v>48</v>
      </c>
      <c r="F9" s="1" t="s">
        <v>49</v>
      </c>
      <c r="G9" s="1" t="s">
        <v>122</v>
      </c>
      <c r="H9" s="1">
        <v>43</v>
      </c>
      <c r="I9" s="1">
        <v>2</v>
      </c>
      <c r="J9" s="1">
        <v>2</v>
      </c>
      <c r="K9" s="1">
        <v>2</v>
      </c>
      <c r="L9" s="1">
        <v>1</v>
      </c>
      <c r="P9" s="10">
        <v>34</v>
      </c>
      <c r="Q9" s="7">
        <v>1</v>
      </c>
    </row>
    <row r="10" spans="5:17" ht="28.8" x14ac:dyDescent="0.3">
      <c r="E10" s="1" t="s">
        <v>48</v>
      </c>
      <c r="F10" s="1" t="s">
        <v>49</v>
      </c>
      <c r="G10" s="1" t="s">
        <v>122</v>
      </c>
      <c r="H10" s="1">
        <v>70</v>
      </c>
      <c r="I10" s="1">
        <v>2</v>
      </c>
      <c r="J10" s="1">
        <v>3</v>
      </c>
      <c r="K10" s="1">
        <v>3</v>
      </c>
      <c r="L10" s="1">
        <v>2</v>
      </c>
      <c r="P10" s="6" t="s">
        <v>24</v>
      </c>
      <c r="Q10" s="7">
        <v>4</v>
      </c>
    </row>
    <row r="11" spans="5:17" ht="28.8" x14ac:dyDescent="0.3">
      <c r="E11" s="1" t="s">
        <v>48</v>
      </c>
      <c r="F11" s="1" t="s">
        <v>49</v>
      </c>
      <c r="G11" s="1" t="s">
        <v>139</v>
      </c>
      <c r="H11" s="1">
        <v>77</v>
      </c>
      <c r="I11" s="1">
        <v>2</v>
      </c>
      <c r="J11" s="1">
        <v>1</v>
      </c>
      <c r="K11" s="1">
        <v>1</v>
      </c>
      <c r="L11" s="1">
        <v>1</v>
      </c>
      <c r="P11" s="8" t="s">
        <v>25</v>
      </c>
      <c r="Q11" s="7">
        <v>4</v>
      </c>
    </row>
    <row r="12" spans="5:17" ht="28.8" x14ac:dyDescent="0.3">
      <c r="E12" s="1" t="s">
        <v>31</v>
      </c>
      <c r="F12" s="1" t="s">
        <v>32</v>
      </c>
      <c r="G12" s="1" t="s">
        <v>139</v>
      </c>
      <c r="H12" s="1">
        <v>65</v>
      </c>
      <c r="I12" s="1">
        <v>5</v>
      </c>
      <c r="J12" s="1">
        <v>1</v>
      </c>
      <c r="K12" s="1">
        <v>1</v>
      </c>
      <c r="L12" s="1">
        <v>1</v>
      </c>
      <c r="P12" s="9" t="s">
        <v>121</v>
      </c>
      <c r="Q12" s="7">
        <v>4</v>
      </c>
    </row>
    <row r="13" spans="5:17" ht="28.8" x14ac:dyDescent="0.3">
      <c r="E13" s="1" t="s">
        <v>31</v>
      </c>
      <c r="F13" s="1" t="s">
        <v>32</v>
      </c>
      <c r="G13" s="1" t="s">
        <v>139</v>
      </c>
      <c r="H13" s="1">
        <v>77</v>
      </c>
      <c r="I13" s="1">
        <v>4</v>
      </c>
      <c r="J13" s="1">
        <v>2</v>
      </c>
      <c r="K13" s="1">
        <v>2</v>
      </c>
      <c r="L13" s="1">
        <v>2</v>
      </c>
      <c r="P13" s="10">
        <v>31</v>
      </c>
      <c r="Q13" s="7">
        <v>4</v>
      </c>
    </row>
    <row r="14" spans="5:17" ht="28.8" x14ac:dyDescent="0.3">
      <c r="E14" s="1" t="s">
        <v>31</v>
      </c>
      <c r="F14" s="1" t="s">
        <v>32</v>
      </c>
      <c r="G14" s="1" t="s">
        <v>131</v>
      </c>
      <c r="H14" s="1">
        <v>19</v>
      </c>
      <c r="I14" s="1">
        <v>4</v>
      </c>
      <c r="J14" s="1">
        <v>3</v>
      </c>
      <c r="K14" s="1">
        <v>3</v>
      </c>
      <c r="L14" s="1">
        <v>1</v>
      </c>
      <c r="P14" s="6" t="s">
        <v>48</v>
      </c>
      <c r="Q14" s="7">
        <v>2</v>
      </c>
    </row>
    <row r="15" spans="5:17" ht="28.8" x14ac:dyDescent="0.3">
      <c r="E15" s="1" t="s">
        <v>36</v>
      </c>
      <c r="F15" s="1" t="s">
        <v>37</v>
      </c>
      <c r="G15" s="1" t="s">
        <v>131</v>
      </c>
      <c r="H15" s="1">
        <v>62</v>
      </c>
      <c r="I15" s="1">
        <v>2</v>
      </c>
      <c r="J15" s="1">
        <v>2</v>
      </c>
      <c r="K15" s="1">
        <v>2</v>
      </c>
      <c r="L15" s="1">
        <v>1</v>
      </c>
      <c r="P15" s="8" t="s">
        <v>49</v>
      </c>
      <c r="Q15" s="7">
        <v>2</v>
      </c>
    </row>
    <row r="16" spans="5:17" ht="28.8" x14ac:dyDescent="0.3">
      <c r="E16" s="1" t="s">
        <v>36</v>
      </c>
      <c r="F16" s="1" t="s">
        <v>37</v>
      </c>
      <c r="G16" s="1" t="s">
        <v>131</v>
      </c>
      <c r="H16" s="1">
        <v>68</v>
      </c>
      <c r="I16" s="1">
        <v>2</v>
      </c>
      <c r="J16" s="1">
        <v>3</v>
      </c>
      <c r="K16" s="1">
        <v>3</v>
      </c>
      <c r="L16" s="1">
        <v>2</v>
      </c>
      <c r="P16" s="9" t="s">
        <v>122</v>
      </c>
      <c r="Q16" s="7">
        <v>2</v>
      </c>
    </row>
    <row r="17" spans="5:17" ht="28.8" x14ac:dyDescent="0.3">
      <c r="E17" s="1" t="s">
        <v>36</v>
      </c>
      <c r="F17" s="1" t="s">
        <v>37</v>
      </c>
      <c r="G17" s="1" t="s">
        <v>169</v>
      </c>
      <c r="H17" s="1">
        <v>64</v>
      </c>
      <c r="I17" s="1">
        <v>2</v>
      </c>
      <c r="J17" s="1">
        <v>1</v>
      </c>
      <c r="K17" s="1">
        <v>1</v>
      </c>
      <c r="L17" s="1">
        <v>1</v>
      </c>
      <c r="P17" s="10">
        <v>70</v>
      </c>
      <c r="Q17" s="7">
        <v>2</v>
      </c>
    </row>
    <row r="18" spans="5:17" ht="28.8" x14ac:dyDescent="0.3">
      <c r="E18" s="1" t="s">
        <v>56</v>
      </c>
      <c r="F18" s="1" t="s">
        <v>59</v>
      </c>
      <c r="G18" s="1" t="s">
        <v>122</v>
      </c>
      <c r="H18" s="1">
        <v>24</v>
      </c>
      <c r="I18" s="1">
        <v>2</v>
      </c>
      <c r="J18" s="1">
        <v>2</v>
      </c>
      <c r="K18" s="1">
        <v>2</v>
      </c>
      <c r="L18" s="1">
        <v>1</v>
      </c>
      <c r="P18" s="6" t="s">
        <v>31</v>
      </c>
      <c r="Q18" s="7">
        <v>4</v>
      </c>
    </row>
    <row r="19" spans="5:17" ht="28.8" x14ac:dyDescent="0.3">
      <c r="E19" s="1" t="s">
        <v>56</v>
      </c>
      <c r="F19" s="1" t="s">
        <v>59</v>
      </c>
      <c r="G19" s="1" t="s">
        <v>122</v>
      </c>
      <c r="H19" s="1">
        <v>34</v>
      </c>
      <c r="I19" s="1">
        <v>2</v>
      </c>
      <c r="J19" s="1">
        <v>3</v>
      </c>
      <c r="K19" s="1">
        <v>3</v>
      </c>
      <c r="L19" s="1">
        <v>2</v>
      </c>
      <c r="P19" s="8" t="s">
        <v>32</v>
      </c>
      <c r="Q19" s="7">
        <v>4</v>
      </c>
    </row>
    <row r="20" spans="5:17" ht="28.8" x14ac:dyDescent="0.3">
      <c r="E20" s="1" t="s">
        <v>56</v>
      </c>
      <c r="F20" s="1" t="s">
        <v>59</v>
      </c>
      <c r="G20" s="1" t="s">
        <v>139</v>
      </c>
      <c r="H20" s="1">
        <v>77</v>
      </c>
      <c r="I20" s="1">
        <v>4</v>
      </c>
      <c r="J20" s="1">
        <v>1</v>
      </c>
      <c r="K20" s="1">
        <v>1</v>
      </c>
      <c r="L20" s="1">
        <v>1</v>
      </c>
      <c r="P20" s="9" t="s">
        <v>131</v>
      </c>
      <c r="Q20" s="7">
        <v>4</v>
      </c>
    </row>
    <row r="21" spans="5:17" ht="28.8" x14ac:dyDescent="0.3">
      <c r="E21" s="1" t="s">
        <v>60</v>
      </c>
      <c r="F21" s="1" t="s">
        <v>61</v>
      </c>
      <c r="G21" s="1" t="s">
        <v>121</v>
      </c>
      <c r="H21" s="1">
        <v>71</v>
      </c>
      <c r="I21" s="1">
        <v>3</v>
      </c>
      <c r="J21" s="1">
        <v>1</v>
      </c>
      <c r="K21" s="1">
        <v>1</v>
      </c>
      <c r="L21" s="1">
        <v>1</v>
      </c>
      <c r="P21" s="10">
        <v>19</v>
      </c>
      <c r="Q21" s="7">
        <v>4</v>
      </c>
    </row>
    <row r="22" spans="5:17" ht="28.8" x14ac:dyDescent="0.3">
      <c r="E22" s="1" t="s">
        <v>60</v>
      </c>
      <c r="F22" s="1" t="s">
        <v>61</v>
      </c>
      <c r="G22" s="1" t="s">
        <v>190</v>
      </c>
      <c r="H22" s="1">
        <v>53</v>
      </c>
      <c r="I22" s="1">
        <v>3</v>
      </c>
      <c r="J22" s="1">
        <v>2</v>
      </c>
      <c r="K22" s="1">
        <v>2</v>
      </c>
      <c r="L22" s="1">
        <v>1</v>
      </c>
      <c r="P22" s="6" t="s">
        <v>36</v>
      </c>
      <c r="Q22" s="7">
        <v>2</v>
      </c>
    </row>
    <row r="23" spans="5:17" x14ac:dyDescent="0.3">
      <c r="E23" s="1" t="s">
        <v>60</v>
      </c>
      <c r="F23" s="1" t="s">
        <v>61</v>
      </c>
      <c r="G23" s="1" t="s">
        <v>213</v>
      </c>
      <c r="H23" s="1">
        <v>14</v>
      </c>
      <c r="I23" s="1">
        <v>3</v>
      </c>
      <c r="J23" s="1">
        <v>3</v>
      </c>
      <c r="K23" s="1">
        <v>3</v>
      </c>
      <c r="L23" s="1">
        <v>1</v>
      </c>
      <c r="P23" s="8" t="s">
        <v>37</v>
      </c>
      <c r="Q23" s="7">
        <v>2</v>
      </c>
    </row>
    <row r="24" spans="5:17" x14ac:dyDescent="0.3">
      <c r="E24" s="1" t="s">
        <v>45</v>
      </c>
      <c r="F24" s="1" t="s">
        <v>75</v>
      </c>
      <c r="G24" s="1" t="s">
        <v>120</v>
      </c>
      <c r="H24" s="1">
        <v>10</v>
      </c>
      <c r="I24" s="1">
        <v>2</v>
      </c>
      <c r="J24" s="1">
        <v>3</v>
      </c>
      <c r="K24" s="1">
        <v>1</v>
      </c>
      <c r="L24" s="1">
        <v>1</v>
      </c>
      <c r="P24" s="9" t="s">
        <v>131</v>
      </c>
      <c r="Q24" s="7">
        <v>2</v>
      </c>
    </row>
    <row r="25" spans="5:17" ht="28.8" x14ac:dyDescent="0.3">
      <c r="E25" s="1" t="s">
        <v>45</v>
      </c>
      <c r="F25" s="1" t="s">
        <v>46</v>
      </c>
      <c r="G25" s="1" t="s">
        <v>131</v>
      </c>
      <c r="H25" s="1">
        <v>16</v>
      </c>
      <c r="I25" s="1">
        <v>3</v>
      </c>
      <c r="J25" s="1">
        <v>1</v>
      </c>
      <c r="K25" s="1">
        <v>1</v>
      </c>
      <c r="L25" s="1">
        <v>1</v>
      </c>
      <c r="P25" s="10">
        <v>68</v>
      </c>
      <c r="Q25" s="7">
        <v>2</v>
      </c>
    </row>
    <row r="26" spans="5:17" x14ac:dyDescent="0.3">
      <c r="E26" s="1" t="s">
        <v>45</v>
      </c>
      <c r="F26" s="1" t="s">
        <v>74</v>
      </c>
      <c r="G26" s="1" t="s">
        <v>120</v>
      </c>
      <c r="H26" s="1">
        <v>36</v>
      </c>
      <c r="I26" s="1">
        <v>3</v>
      </c>
      <c r="J26" s="1">
        <v>2</v>
      </c>
      <c r="K26" s="1">
        <v>1</v>
      </c>
      <c r="L26" s="1">
        <v>1</v>
      </c>
      <c r="P26" s="6" t="s">
        <v>56</v>
      </c>
      <c r="Q26" s="7">
        <v>2</v>
      </c>
    </row>
    <row r="27" spans="5:17" ht="28.8" x14ac:dyDescent="0.3">
      <c r="E27" s="1" t="s">
        <v>22</v>
      </c>
      <c r="F27" s="1" t="s">
        <v>23</v>
      </c>
      <c r="G27" s="1" t="s">
        <v>121</v>
      </c>
      <c r="H27" s="1">
        <v>60</v>
      </c>
      <c r="I27" s="1">
        <v>4</v>
      </c>
      <c r="J27" s="1">
        <v>2</v>
      </c>
      <c r="K27" s="1">
        <v>2</v>
      </c>
      <c r="L27" s="1">
        <v>1</v>
      </c>
      <c r="P27" s="8" t="s">
        <v>59</v>
      </c>
      <c r="Q27" s="7">
        <v>2</v>
      </c>
    </row>
    <row r="28" spans="5:17" ht="28.8" x14ac:dyDescent="0.3">
      <c r="E28" s="1" t="s">
        <v>22</v>
      </c>
      <c r="F28" s="1" t="s">
        <v>23</v>
      </c>
      <c r="G28" s="1" t="s">
        <v>169</v>
      </c>
      <c r="H28" s="1">
        <v>42</v>
      </c>
      <c r="I28" s="1">
        <v>4</v>
      </c>
      <c r="J28" s="1">
        <v>1</v>
      </c>
      <c r="K28" s="1">
        <v>1</v>
      </c>
      <c r="L28" s="1">
        <v>1</v>
      </c>
      <c r="P28" s="9" t="s">
        <v>122</v>
      </c>
      <c r="Q28" s="7">
        <v>2</v>
      </c>
    </row>
    <row r="29" spans="5:17" x14ac:dyDescent="0.3">
      <c r="E29" s="1" t="s">
        <v>22</v>
      </c>
      <c r="F29" s="1" t="s">
        <v>69</v>
      </c>
      <c r="G29" s="1" t="s">
        <v>120</v>
      </c>
      <c r="H29" s="1">
        <v>41</v>
      </c>
      <c r="I29" s="1">
        <v>3</v>
      </c>
      <c r="J29" s="1">
        <v>3</v>
      </c>
      <c r="K29" s="1">
        <v>1</v>
      </c>
      <c r="L29" s="1">
        <v>1</v>
      </c>
      <c r="P29" s="10">
        <v>34</v>
      </c>
      <c r="Q29" s="7">
        <v>2</v>
      </c>
    </row>
    <row r="30" spans="5:17" ht="28.8" x14ac:dyDescent="0.3">
      <c r="E30" s="1" t="s">
        <v>28</v>
      </c>
      <c r="F30" s="1" t="s">
        <v>29</v>
      </c>
      <c r="G30" s="1" t="s">
        <v>121</v>
      </c>
      <c r="H30" s="1">
        <v>71</v>
      </c>
      <c r="I30" s="1">
        <v>4</v>
      </c>
      <c r="J30" s="1">
        <v>1</v>
      </c>
      <c r="K30" s="1">
        <v>1</v>
      </c>
      <c r="L30" s="1">
        <v>1</v>
      </c>
      <c r="P30" s="6" t="s">
        <v>60</v>
      </c>
      <c r="Q30" s="7">
        <v>3</v>
      </c>
    </row>
    <row r="31" spans="5:17" ht="28.8" x14ac:dyDescent="0.3">
      <c r="E31" s="1" t="s">
        <v>28</v>
      </c>
      <c r="F31" s="1" t="s">
        <v>29</v>
      </c>
      <c r="G31" s="1" t="s">
        <v>121</v>
      </c>
      <c r="H31" s="1">
        <v>59</v>
      </c>
      <c r="I31" s="1">
        <v>3</v>
      </c>
      <c r="J31" s="1">
        <v>2</v>
      </c>
      <c r="K31" s="1">
        <v>2</v>
      </c>
      <c r="L31" s="1">
        <v>2</v>
      </c>
      <c r="P31" s="8" t="s">
        <v>61</v>
      </c>
      <c r="Q31" s="7">
        <v>3</v>
      </c>
    </row>
    <row r="32" spans="5:17" ht="28.8" x14ac:dyDescent="0.3">
      <c r="E32" s="1" t="s">
        <v>28</v>
      </c>
      <c r="F32" s="1" t="s">
        <v>29</v>
      </c>
      <c r="G32" s="1" t="s">
        <v>190</v>
      </c>
      <c r="H32" s="1">
        <v>29</v>
      </c>
      <c r="I32" s="1">
        <v>3</v>
      </c>
      <c r="J32" s="1">
        <v>3</v>
      </c>
      <c r="K32" s="1">
        <v>3</v>
      </c>
      <c r="L32" s="1">
        <v>1</v>
      </c>
      <c r="P32" s="9" t="s">
        <v>213</v>
      </c>
      <c r="Q32" s="7">
        <v>3</v>
      </c>
    </row>
    <row r="33" spans="5:17" ht="28.8" x14ac:dyDescent="0.3">
      <c r="E33" s="1" t="s">
        <v>81</v>
      </c>
      <c r="F33" s="1" t="s">
        <v>82</v>
      </c>
      <c r="G33" s="1" t="s">
        <v>122</v>
      </c>
      <c r="H33" s="1">
        <v>24</v>
      </c>
      <c r="I33" s="1">
        <v>2</v>
      </c>
      <c r="J33" s="1">
        <v>2</v>
      </c>
      <c r="K33" s="1">
        <v>2</v>
      </c>
      <c r="L33" s="1">
        <v>1</v>
      </c>
      <c r="P33" s="10">
        <v>14</v>
      </c>
      <c r="Q33" s="7">
        <v>3</v>
      </c>
    </row>
    <row r="34" spans="5:17" ht="28.8" x14ac:dyDescent="0.3">
      <c r="E34" s="1" t="s">
        <v>81</v>
      </c>
      <c r="F34" s="1" t="s">
        <v>82</v>
      </c>
      <c r="G34" s="1" t="s">
        <v>139</v>
      </c>
      <c r="H34" s="1">
        <v>4</v>
      </c>
      <c r="I34" s="1">
        <v>2</v>
      </c>
      <c r="J34" s="1">
        <v>3</v>
      </c>
      <c r="K34" s="1">
        <v>1</v>
      </c>
      <c r="L34" s="1">
        <v>1</v>
      </c>
      <c r="P34" s="6" t="s">
        <v>45</v>
      </c>
      <c r="Q34" s="7">
        <v>2</v>
      </c>
    </row>
    <row r="35" spans="5:17" ht="28.8" x14ac:dyDescent="0.3">
      <c r="E35" s="1" t="s">
        <v>81</v>
      </c>
      <c r="F35" s="1" t="s">
        <v>85</v>
      </c>
      <c r="G35" s="1" t="s">
        <v>169</v>
      </c>
      <c r="H35" s="1">
        <v>52</v>
      </c>
      <c r="I35" s="1">
        <v>2</v>
      </c>
      <c r="J35" s="1">
        <v>1</v>
      </c>
      <c r="K35" s="1">
        <v>1</v>
      </c>
      <c r="L35" s="1">
        <v>1</v>
      </c>
      <c r="P35" s="8" t="s">
        <v>75</v>
      </c>
      <c r="Q35" s="7">
        <v>2</v>
      </c>
    </row>
    <row r="36" spans="5:17" ht="28.8" x14ac:dyDescent="0.3">
      <c r="E36" s="1" t="s">
        <v>43</v>
      </c>
      <c r="F36" s="1" t="s">
        <v>44</v>
      </c>
      <c r="G36" s="1" t="s">
        <v>139</v>
      </c>
      <c r="H36" s="1">
        <v>44</v>
      </c>
      <c r="I36" s="1">
        <v>3</v>
      </c>
      <c r="J36" s="1">
        <v>2</v>
      </c>
      <c r="K36" s="1">
        <v>2</v>
      </c>
      <c r="L36" s="1">
        <v>1</v>
      </c>
      <c r="P36" s="9" t="s">
        <v>120</v>
      </c>
      <c r="Q36" s="7">
        <v>2</v>
      </c>
    </row>
    <row r="37" spans="5:17" ht="28.8" x14ac:dyDescent="0.3">
      <c r="E37" s="1" t="s">
        <v>43</v>
      </c>
      <c r="F37" s="1" t="s">
        <v>44</v>
      </c>
      <c r="G37" s="1" t="s">
        <v>121</v>
      </c>
      <c r="H37" s="1">
        <v>11</v>
      </c>
      <c r="I37" s="1">
        <v>4</v>
      </c>
      <c r="J37" s="1">
        <v>1</v>
      </c>
      <c r="K37" s="1">
        <v>1</v>
      </c>
      <c r="L37" s="1">
        <v>1</v>
      </c>
      <c r="P37" s="10">
        <v>10</v>
      </c>
      <c r="Q37" s="7">
        <v>2</v>
      </c>
    </row>
    <row r="38" spans="5:17" ht="28.8" x14ac:dyDescent="0.3">
      <c r="E38" s="1" t="s">
        <v>43</v>
      </c>
      <c r="F38" s="1" t="s">
        <v>44</v>
      </c>
      <c r="G38" s="1" t="s">
        <v>190</v>
      </c>
      <c r="H38" s="1">
        <v>17</v>
      </c>
      <c r="I38" s="1">
        <v>3</v>
      </c>
      <c r="J38" s="1">
        <v>3</v>
      </c>
      <c r="K38" s="1">
        <v>3</v>
      </c>
      <c r="L38" s="1">
        <v>1</v>
      </c>
      <c r="P38" s="6" t="s">
        <v>22</v>
      </c>
      <c r="Q38" s="7">
        <v>3</v>
      </c>
    </row>
    <row r="39" spans="5:17" ht="28.8" x14ac:dyDescent="0.3">
      <c r="E39" s="1" t="s">
        <v>88</v>
      </c>
      <c r="F39" s="1" t="s">
        <v>89</v>
      </c>
      <c r="G39" s="1" t="s">
        <v>122</v>
      </c>
      <c r="H39" s="1">
        <v>24</v>
      </c>
      <c r="I39" s="1">
        <v>2</v>
      </c>
      <c r="J39" s="1">
        <v>1</v>
      </c>
      <c r="K39" s="1">
        <v>1</v>
      </c>
      <c r="L39" s="1">
        <v>1</v>
      </c>
      <c r="P39" s="8" t="s">
        <v>69</v>
      </c>
      <c r="Q39" s="7">
        <v>3</v>
      </c>
    </row>
    <row r="40" spans="5:17" ht="28.8" x14ac:dyDescent="0.3">
      <c r="E40" s="1" t="s">
        <v>88</v>
      </c>
      <c r="F40" s="1" t="s">
        <v>89</v>
      </c>
      <c r="G40" s="1" t="s">
        <v>122</v>
      </c>
      <c r="H40" s="1">
        <v>35</v>
      </c>
      <c r="I40" s="1">
        <v>1</v>
      </c>
      <c r="J40" s="1">
        <v>2</v>
      </c>
      <c r="K40" s="1">
        <v>2</v>
      </c>
      <c r="L40" s="1">
        <v>2</v>
      </c>
      <c r="P40" s="9" t="s">
        <v>120</v>
      </c>
      <c r="Q40" s="7">
        <v>3</v>
      </c>
    </row>
    <row r="41" spans="5:17" ht="28.8" x14ac:dyDescent="0.3">
      <c r="E41" s="1" t="s">
        <v>88</v>
      </c>
      <c r="F41" s="1" t="s">
        <v>89</v>
      </c>
      <c r="G41" s="1" t="s">
        <v>122</v>
      </c>
      <c r="H41" s="1">
        <v>38</v>
      </c>
      <c r="I41" s="1">
        <v>1</v>
      </c>
      <c r="J41" s="1">
        <v>3</v>
      </c>
      <c r="K41" s="1">
        <v>3</v>
      </c>
      <c r="L41" s="1">
        <v>3</v>
      </c>
      <c r="P41" s="10">
        <v>41</v>
      </c>
      <c r="Q41" s="7">
        <v>3</v>
      </c>
    </row>
    <row r="42" spans="5:17" ht="28.8" x14ac:dyDescent="0.3">
      <c r="E42" s="1" t="s">
        <v>97</v>
      </c>
      <c r="F42" s="1" t="s">
        <v>98</v>
      </c>
      <c r="G42" s="1" t="s">
        <v>122</v>
      </c>
      <c r="H42" s="1">
        <v>2</v>
      </c>
      <c r="I42" s="1">
        <v>2</v>
      </c>
      <c r="J42" s="1">
        <v>2</v>
      </c>
      <c r="K42" s="1">
        <v>2</v>
      </c>
      <c r="L42" s="1">
        <v>1</v>
      </c>
      <c r="P42" s="6" t="s">
        <v>28</v>
      </c>
      <c r="Q42" s="7">
        <v>3</v>
      </c>
    </row>
    <row r="43" spans="5:17" ht="28.8" x14ac:dyDescent="0.3">
      <c r="E43" s="1" t="s">
        <v>97</v>
      </c>
      <c r="F43" s="1" t="s">
        <v>98</v>
      </c>
      <c r="G43" s="1" t="s">
        <v>122</v>
      </c>
      <c r="H43" s="1">
        <v>24</v>
      </c>
      <c r="I43" s="1">
        <v>1</v>
      </c>
      <c r="J43" s="1">
        <v>3</v>
      </c>
      <c r="K43" s="1">
        <v>3</v>
      </c>
      <c r="L43" s="1">
        <v>2</v>
      </c>
      <c r="P43" s="8" t="s">
        <v>29</v>
      </c>
      <c r="Q43" s="7">
        <v>3</v>
      </c>
    </row>
    <row r="44" spans="5:17" ht="28.8" x14ac:dyDescent="0.3">
      <c r="E44" s="1" t="s">
        <v>97</v>
      </c>
      <c r="F44" s="1" t="s">
        <v>98</v>
      </c>
      <c r="G44" s="1" t="s">
        <v>139</v>
      </c>
      <c r="H44" s="1">
        <v>61</v>
      </c>
      <c r="I44" s="1">
        <v>2</v>
      </c>
      <c r="J44" s="1">
        <v>1</v>
      </c>
      <c r="K44" s="1">
        <v>1</v>
      </c>
      <c r="L44" s="1">
        <v>1</v>
      </c>
      <c r="P44" s="9" t="s">
        <v>190</v>
      </c>
      <c r="Q44" s="7">
        <v>3</v>
      </c>
    </row>
    <row r="45" spans="5:17" ht="28.8" x14ac:dyDescent="0.3">
      <c r="E45" s="1" t="s">
        <v>67</v>
      </c>
      <c r="F45" s="1" t="s">
        <v>68</v>
      </c>
      <c r="G45" s="1" t="s">
        <v>139</v>
      </c>
      <c r="H45" s="1">
        <v>4</v>
      </c>
      <c r="I45" s="1">
        <v>2</v>
      </c>
      <c r="J45" s="1">
        <v>2</v>
      </c>
      <c r="K45" s="1">
        <v>2</v>
      </c>
      <c r="L45" s="1">
        <v>1</v>
      </c>
      <c r="P45" s="10">
        <v>29</v>
      </c>
      <c r="Q45" s="7">
        <v>3</v>
      </c>
    </row>
    <row r="46" spans="5:17" ht="28.8" x14ac:dyDescent="0.3">
      <c r="E46" s="1" t="s">
        <v>67</v>
      </c>
      <c r="F46" s="1" t="s">
        <v>68</v>
      </c>
      <c r="G46" s="1" t="s">
        <v>139</v>
      </c>
      <c r="H46" s="1">
        <v>44</v>
      </c>
      <c r="I46" s="1">
        <v>2</v>
      </c>
      <c r="J46" s="1">
        <v>3</v>
      </c>
      <c r="K46" s="1">
        <v>3</v>
      </c>
      <c r="L46" s="1">
        <v>2</v>
      </c>
      <c r="P46" s="6" t="s">
        <v>81</v>
      </c>
      <c r="Q46" s="7">
        <v>2</v>
      </c>
    </row>
    <row r="47" spans="5:17" ht="28.8" x14ac:dyDescent="0.3">
      <c r="E47" s="1" t="s">
        <v>67</v>
      </c>
      <c r="F47" s="1" t="s">
        <v>68</v>
      </c>
      <c r="G47" s="1" t="s">
        <v>169</v>
      </c>
      <c r="H47" s="1">
        <v>56</v>
      </c>
      <c r="I47" s="1">
        <v>3</v>
      </c>
      <c r="J47" s="1">
        <v>1</v>
      </c>
      <c r="K47" s="1">
        <v>1</v>
      </c>
      <c r="L47" s="1">
        <v>1</v>
      </c>
      <c r="P47" s="8" t="s">
        <v>82</v>
      </c>
      <c r="Q47" s="7">
        <v>2</v>
      </c>
    </row>
    <row r="48" spans="5:17" ht="28.8" x14ac:dyDescent="0.3">
      <c r="E48" s="1" t="s">
        <v>71</v>
      </c>
      <c r="F48" s="1" t="s">
        <v>84</v>
      </c>
      <c r="G48" s="1" t="s">
        <v>169</v>
      </c>
      <c r="H48" s="1">
        <v>57</v>
      </c>
      <c r="I48" s="1">
        <v>2</v>
      </c>
      <c r="J48" s="1">
        <v>2</v>
      </c>
      <c r="K48" s="1">
        <v>2</v>
      </c>
      <c r="L48" s="1">
        <v>1</v>
      </c>
      <c r="P48" s="9" t="s">
        <v>139</v>
      </c>
      <c r="Q48" s="7">
        <v>2</v>
      </c>
    </row>
    <row r="49" spans="5:17" x14ac:dyDescent="0.3">
      <c r="E49" s="1" t="s">
        <v>71</v>
      </c>
      <c r="F49" s="1" t="s">
        <v>84</v>
      </c>
      <c r="G49" s="1" t="s">
        <v>120</v>
      </c>
      <c r="H49" s="1">
        <v>30</v>
      </c>
      <c r="I49" s="1">
        <v>3</v>
      </c>
      <c r="J49" s="1">
        <v>1</v>
      </c>
      <c r="K49" s="1">
        <v>1</v>
      </c>
      <c r="L49" s="1">
        <v>1</v>
      </c>
      <c r="P49" s="10">
        <v>4</v>
      </c>
      <c r="Q49" s="7">
        <v>2</v>
      </c>
    </row>
    <row r="50" spans="5:17" ht="28.8" x14ac:dyDescent="0.3">
      <c r="E50" s="1" t="s">
        <v>71</v>
      </c>
      <c r="F50" s="1" t="s">
        <v>72</v>
      </c>
      <c r="G50" s="1" t="s">
        <v>139</v>
      </c>
      <c r="H50" s="1">
        <v>65</v>
      </c>
      <c r="I50" s="1">
        <v>2</v>
      </c>
      <c r="J50" s="1">
        <v>3</v>
      </c>
      <c r="K50" s="1">
        <v>1</v>
      </c>
      <c r="L50" s="1">
        <v>1</v>
      </c>
      <c r="P50" s="6" t="s">
        <v>43</v>
      </c>
      <c r="Q50" s="7">
        <v>3</v>
      </c>
    </row>
    <row r="51" spans="5:17" ht="28.8" x14ac:dyDescent="0.3">
      <c r="E51" s="1" t="s">
        <v>38</v>
      </c>
      <c r="F51" s="1" t="s">
        <v>39</v>
      </c>
      <c r="G51" s="1" t="s">
        <v>122</v>
      </c>
      <c r="H51" s="1">
        <v>2</v>
      </c>
      <c r="I51" s="1">
        <v>3</v>
      </c>
      <c r="J51" s="1">
        <v>1</v>
      </c>
      <c r="K51" s="1">
        <v>1</v>
      </c>
      <c r="L51" s="1">
        <v>1</v>
      </c>
      <c r="P51" s="8" t="s">
        <v>44</v>
      </c>
      <c r="Q51" s="7">
        <v>3</v>
      </c>
    </row>
    <row r="52" spans="5:17" ht="28.8" x14ac:dyDescent="0.3">
      <c r="E52" s="1" t="s">
        <v>38</v>
      </c>
      <c r="F52" s="1" t="s">
        <v>39</v>
      </c>
      <c r="G52" s="1" t="s">
        <v>122</v>
      </c>
      <c r="H52" s="1">
        <v>75</v>
      </c>
      <c r="I52" s="1">
        <v>3</v>
      </c>
      <c r="J52" s="1">
        <v>2</v>
      </c>
      <c r="K52" s="1">
        <v>2</v>
      </c>
      <c r="L52" s="1">
        <v>2</v>
      </c>
      <c r="P52" s="9" t="s">
        <v>190</v>
      </c>
      <c r="Q52" s="7">
        <v>3</v>
      </c>
    </row>
    <row r="53" spans="5:17" x14ac:dyDescent="0.3">
      <c r="E53" s="1" t="s">
        <v>38</v>
      </c>
      <c r="F53" s="1" t="s">
        <v>39</v>
      </c>
      <c r="G53" s="1" t="s">
        <v>213</v>
      </c>
      <c r="H53" s="1">
        <v>51</v>
      </c>
      <c r="I53" s="1">
        <v>3</v>
      </c>
      <c r="J53" s="1">
        <v>3</v>
      </c>
      <c r="K53" s="1">
        <v>3</v>
      </c>
      <c r="L53" s="1">
        <v>1</v>
      </c>
      <c r="P53" s="10">
        <v>17</v>
      </c>
      <c r="Q53" s="7">
        <v>3</v>
      </c>
    </row>
    <row r="54" spans="5:17" ht="28.8" x14ac:dyDescent="0.3">
      <c r="E54" s="1" t="s">
        <v>62</v>
      </c>
      <c r="F54" s="1" t="s">
        <v>76</v>
      </c>
      <c r="G54" s="1" t="s">
        <v>169</v>
      </c>
      <c r="H54" s="1">
        <v>56</v>
      </c>
      <c r="I54" s="1">
        <v>2</v>
      </c>
      <c r="J54" s="1">
        <v>1</v>
      </c>
      <c r="K54" s="1">
        <v>1</v>
      </c>
      <c r="L54" s="1">
        <v>1</v>
      </c>
      <c r="P54" s="6" t="s">
        <v>88</v>
      </c>
      <c r="Q54" s="7">
        <v>1</v>
      </c>
    </row>
    <row r="55" spans="5:17" ht="28.8" x14ac:dyDescent="0.3">
      <c r="E55" s="1" t="s">
        <v>62</v>
      </c>
      <c r="F55" s="1" t="s">
        <v>76</v>
      </c>
      <c r="G55" s="1" t="s">
        <v>213</v>
      </c>
      <c r="H55" s="1">
        <v>74</v>
      </c>
      <c r="I55" s="1">
        <v>2</v>
      </c>
      <c r="J55" s="1">
        <v>3</v>
      </c>
      <c r="K55" s="1">
        <v>2</v>
      </c>
      <c r="L55" s="1">
        <v>1</v>
      </c>
      <c r="P55" s="8" t="s">
        <v>89</v>
      </c>
      <c r="Q55" s="7">
        <v>1</v>
      </c>
    </row>
    <row r="56" spans="5:17" ht="28.8" x14ac:dyDescent="0.3">
      <c r="E56" s="1" t="s">
        <v>62</v>
      </c>
      <c r="F56" s="1" t="s">
        <v>63</v>
      </c>
      <c r="G56" s="1" t="s">
        <v>131</v>
      </c>
      <c r="H56" s="1">
        <v>26</v>
      </c>
      <c r="I56" s="1">
        <v>2</v>
      </c>
      <c r="J56" s="1">
        <v>2</v>
      </c>
      <c r="K56" s="1">
        <v>1</v>
      </c>
      <c r="L56" s="1">
        <v>1</v>
      </c>
      <c r="P56" s="9" t="s">
        <v>122</v>
      </c>
      <c r="Q56" s="7">
        <v>1</v>
      </c>
    </row>
    <row r="57" spans="5:17" ht="28.8" x14ac:dyDescent="0.3">
      <c r="E57" s="1" t="s">
        <v>33</v>
      </c>
      <c r="F57" s="1" t="s">
        <v>34</v>
      </c>
      <c r="G57" s="1" t="s">
        <v>122</v>
      </c>
      <c r="H57" s="1">
        <v>70</v>
      </c>
      <c r="I57" s="1">
        <v>4</v>
      </c>
      <c r="J57" s="1">
        <v>3</v>
      </c>
      <c r="K57" s="1">
        <v>3</v>
      </c>
      <c r="L57" s="1">
        <v>1</v>
      </c>
      <c r="P57" s="10">
        <v>38</v>
      </c>
      <c r="Q57" s="7">
        <v>1</v>
      </c>
    </row>
    <row r="58" spans="5:17" x14ac:dyDescent="0.3">
      <c r="E58" s="1" t="s">
        <v>33</v>
      </c>
      <c r="F58" s="1" t="s">
        <v>34</v>
      </c>
      <c r="G58" s="1" t="s">
        <v>213</v>
      </c>
      <c r="H58" s="1">
        <v>51</v>
      </c>
      <c r="I58" s="1">
        <v>4</v>
      </c>
      <c r="J58" s="1">
        <v>2</v>
      </c>
      <c r="K58" s="1">
        <v>2</v>
      </c>
      <c r="L58" s="1">
        <v>1</v>
      </c>
      <c r="P58" s="6" t="s">
        <v>97</v>
      </c>
      <c r="Q58" s="7">
        <v>1</v>
      </c>
    </row>
    <row r="59" spans="5:17" x14ac:dyDescent="0.3">
      <c r="E59" s="1" t="s">
        <v>33</v>
      </c>
      <c r="F59" s="1" t="s">
        <v>34</v>
      </c>
      <c r="G59" s="1" t="s">
        <v>120</v>
      </c>
      <c r="H59" s="1">
        <v>13</v>
      </c>
      <c r="I59" s="1">
        <v>4</v>
      </c>
      <c r="J59" s="1">
        <v>1</v>
      </c>
      <c r="K59" s="1">
        <v>1</v>
      </c>
      <c r="L59" s="1">
        <v>1</v>
      </c>
      <c r="P59" s="8" t="s">
        <v>98</v>
      </c>
      <c r="Q59" s="7">
        <v>1</v>
      </c>
    </row>
    <row r="60" spans="5:17" ht="28.8" x14ac:dyDescent="0.3">
      <c r="E60" s="1" t="s">
        <v>26</v>
      </c>
      <c r="F60" s="1" t="s">
        <v>30</v>
      </c>
      <c r="G60" s="1" t="s">
        <v>131</v>
      </c>
      <c r="H60" s="1">
        <v>62</v>
      </c>
      <c r="I60" s="1">
        <v>4</v>
      </c>
      <c r="J60" s="1">
        <v>2</v>
      </c>
      <c r="K60" s="1">
        <v>1</v>
      </c>
      <c r="L60" s="1">
        <v>1</v>
      </c>
      <c r="P60" s="9" t="s">
        <v>122</v>
      </c>
      <c r="Q60" s="7">
        <v>1</v>
      </c>
    </row>
    <row r="61" spans="5:17" ht="28.8" x14ac:dyDescent="0.3">
      <c r="E61" s="1" t="s">
        <v>26</v>
      </c>
      <c r="F61" s="1" t="s">
        <v>27</v>
      </c>
      <c r="G61" s="1" t="s">
        <v>122</v>
      </c>
      <c r="H61" s="1">
        <v>2</v>
      </c>
      <c r="I61" s="1">
        <v>4</v>
      </c>
      <c r="J61" s="1">
        <v>1</v>
      </c>
      <c r="K61" s="1">
        <v>1</v>
      </c>
      <c r="L61" s="1">
        <v>1</v>
      </c>
      <c r="P61" s="10">
        <v>24</v>
      </c>
      <c r="Q61" s="7">
        <v>1</v>
      </c>
    </row>
    <row r="62" spans="5:17" ht="28.8" x14ac:dyDescent="0.3">
      <c r="E62" s="1" t="s">
        <v>26</v>
      </c>
      <c r="F62" s="1" t="s">
        <v>27</v>
      </c>
      <c r="G62" s="1" t="s">
        <v>169</v>
      </c>
      <c r="H62" s="1">
        <v>56</v>
      </c>
      <c r="I62" s="1">
        <v>4</v>
      </c>
      <c r="J62" s="1">
        <v>3</v>
      </c>
      <c r="K62" s="1">
        <v>2</v>
      </c>
      <c r="L62" s="1">
        <v>1</v>
      </c>
      <c r="P62" s="6" t="s">
        <v>67</v>
      </c>
      <c r="Q62" s="7">
        <v>2</v>
      </c>
    </row>
    <row r="63" spans="5:17" ht="28.8" x14ac:dyDescent="0.3">
      <c r="E63" s="1" t="s">
        <v>50</v>
      </c>
      <c r="F63" s="1" t="s">
        <v>65</v>
      </c>
      <c r="G63" s="1" t="s">
        <v>131</v>
      </c>
      <c r="H63" s="1">
        <v>16</v>
      </c>
      <c r="I63" s="1">
        <v>2</v>
      </c>
      <c r="J63" s="1">
        <v>3</v>
      </c>
      <c r="K63" s="1">
        <v>1</v>
      </c>
      <c r="L63" s="1">
        <v>1</v>
      </c>
      <c r="P63" s="8" t="s">
        <v>68</v>
      </c>
      <c r="Q63" s="7">
        <v>2</v>
      </c>
    </row>
    <row r="64" spans="5:17" ht="43.2" x14ac:dyDescent="0.3">
      <c r="E64" s="1" t="s">
        <v>50</v>
      </c>
      <c r="F64" s="1" t="s">
        <v>51</v>
      </c>
      <c r="G64" s="1" t="s">
        <v>122</v>
      </c>
      <c r="H64" s="1">
        <v>75</v>
      </c>
      <c r="I64" s="1">
        <v>3</v>
      </c>
      <c r="J64" s="1">
        <v>1</v>
      </c>
      <c r="K64" s="1">
        <v>1</v>
      </c>
      <c r="L64" s="1">
        <v>1</v>
      </c>
      <c r="P64" s="9" t="s">
        <v>139</v>
      </c>
      <c r="Q64" s="7">
        <v>2</v>
      </c>
    </row>
    <row r="65" spans="5:17" ht="43.2" x14ac:dyDescent="0.3">
      <c r="E65" s="1" t="s">
        <v>50</v>
      </c>
      <c r="F65" s="1" t="s">
        <v>51</v>
      </c>
      <c r="G65" s="1" t="s">
        <v>121</v>
      </c>
      <c r="H65" s="1">
        <v>69</v>
      </c>
      <c r="I65" s="1">
        <v>3</v>
      </c>
      <c r="J65" s="1">
        <v>2</v>
      </c>
      <c r="K65" s="1">
        <v>2</v>
      </c>
      <c r="L65" s="1">
        <v>1</v>
      </c>
      <c r="P65" s="10">
        <v>44</v>
      </c>
      <c r="Q65" s="7">
        <v>2</v>
      </c>
    </row>
    <row r="66" spans="5:17" x14ac:dyDescent="0.3">
      <c r="P66" s="6" t="s">
        <v>71</v>
      </c>
      <c r="Q66" s="7">
        <v>2</v>
      </c>
    </row>
    <row r="67" spans="5:17" x14ac:dyDescent="0.3">
      <c r="P67" s="8" t="s">
        <v>72</v>
      </c>
      <c r="Q67" s="7">
        <v>2</v>
      </c>
    </row>
    <row r="68" spans="5:17" x14ac:dyDescent="0.3">
      <c r="P68" s="9" t="s">
        <v>139</v>
      </c>
      <c r="Q68" s="7">
        <v>2</v>
      </c>
    </row>
    <row r="69" spans="5:17" x14ac:dyDescent="0.3">
      <c r="P69" s="10">
        <v>65</v>
      </c>
      <c r="Q69" s="7">
        <v>2</v>
      </c>
    </row>
    <row r="70" spans="5:17" x14ac:dyDescent="0.3">
      <c r="P70" s="6" t="s">
        <v>38</v>
      </c>
      <c r="Q70" s="7">
        <v>3</v>
      </c>
    </row>
    <row r="71" spans="5:17" x14ac:dyDescent="0.3">
      <c r="P71" s="8" t="s">
        <v>39</v>
      </c>
      <c r="Q71" s="7">
        <v>3</v>
      </c>
    </row>
    <row r="72" spans="5:17" x14ac:dyDescent="0.3">
      <c r="P72" s="9" t="s">
        <v>213</v>
      </c>
      <c r="Q72" s="7">
        <v>3</v>
      </c>
    </row>
    <row r="73" spans="5:17" x14ac:dyDescent="0.3">
      <c r="P73" s="10">
        <v>51</v>
      </c>
      <c r="Q73" s="7">
        <v>3</v>
      </c>
    </row>
    <row r="74" spans="5:17" x14ac:dyDescent="0.3">
      <c r="P74" s="6" t="s">
        <v>62</v>
      </c>
      <c r="Q74" s="7">
        <v>2</v>
      </c>
    </row>
    <row r="75" spans="5:17" x14ac:dyDescent="0.3">
      <c r="P75" s="8" t="s">
        <v>76</v>
      </c>
      <c r="Q75" s="7">
        <v>2</v>
      </c>
    </row>
    <row r="76" spans="5:17" x14ac:dyDescent="0.3">
      <c r="P76" s="9" t="s">
        <v>213</v>
      </c>
      <c r="Q76" s="7">
        <v>2</v>
      </c>
    </row>
    <row r="77" spans="5:17" x14ac:dyDescent="0.3">
      <c r="P77" s="10">
        <v>74</v>
      </c>
      <c r="Q77" s="7">
        <v>2</v>
      </c>
    </row>
    <row r="78" spans="5:17" x14ac:dyDescent="0.3">
      <c r="P78" s="6" t="s">
        <v>33</v>
      </c>
      <c r="Q78" s="7">
        <v>4</v>
      </c>
    </row>
    <row r="79" spans="5:17" x14ac:dyDescent="0.3">
      <c r="P79" s="8" t="s">
        <v>34</v>
      </c>
      <c r="Q79" s="7">
        <v>4</v>
      </c>
    </row>
    <row r="80" spans="5:17" x14ac:dyDescent="0.3">
      <c r="P80" s="9" t="s">
        <v>122</v>
      </c>
      <c r="Q80" s="7">
        <v>4</v>
      </c>
    </row>
    <row r="81" spans="16:17" x14ac:dyDescent="0.3">
      <c r="P81" s="10">
        <v>70</v>
      </c>
      <c r="Q81" s="7">
        <v>4</v>
      </c>
    </row>
    <row r="82" spans="16:17" x14ac:dyDescent="0.3">
      <c r="P82" s="6" t="s">
        <v>26</v>
      </c>
      <c r="Q82" s="7">
        <v>4</v>
      </c>
    </row>
    <row r="83" spans="16:17" x14ac:dyDescent="0.3">
      <c r="P83" s="8" t="s">
        <v>27</v>
      </c>
      <c r="Q83" s="7">
        <v>4</v>
      </c>
    </row>
    <row r="84" spans="16:17" x14ac:dyDescent="0.3">
      <c r="P84" s="9" t="s">
        <v>169</v>
      </c>
      <c r="Q84" s="7">
        <v>4</v>
      </c>
    </row>
    <row r="85" spans="16:17" x14ac:dyDescent="0.3">
      <c r="P85" s="10">
        <v>56</v>
      </c>
      <c r="Q85" s="7">
        <v>4</v>
      </c>
    </row>
    <row r="86" spans="16:17" x14ac:dyDescent="0.3">
      <c r="P86" s="6" t="s">
        <v>50</v>
      </c>
      <c r="Q86" s="7">
        <v>2</v>
      </c>
    </row>
    <row r="87" spans="16:17" x14ac:dyDescent="0.3">
      <c r="P87" s="8" t="s">
        <v>65</v>
      </c>
      <c r="Q87" s="7">
        <v>2</v>
      </c>
    </row>
    <row r="88" spans="16:17" x14ac:dyDescent="0.3">
      <c r="P88" s="9" t="s">
        <v>131</v>
      </c>
      <c r="Q88" s="7">
        <v>2</v>
      </c>
    </row>
    <row r="89" spans="16:17" x14ac:dyDescent="0.3">
      <c r="P89" s="10">
        <v>16</v>
      </c>
      <c r="Q89" s="7">
        <v>2</v>
      </c>
    </row>
    <row r="90" spans="16:17" x14ac:dyDescent="0.3">
      <c r="P90" s="6" t="s">
        <v>13</v>
      </c>
      <c r="Q90" s="7">
        <v>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AAC2-88C7-46D2-A43F-F2F762F01A37}">
  <dimension ref="D2:R13"/>
  <sheetViews>
    <sheetView topLeftCell="A5" workbookViewId="0">
      <selection activeCell="I4" sqref="I4"/>
    </sheetView>
  </sheetViews>
  <sheetFormatPr defaultRowHeight="14.4" x14ac:dyDescent="0.3"/>
  <cols>
    <col min="4" max="4" width="7.33203125" bestFit="1" customWidth="1"/>
    <col min="5" max="5" width="8.6640625" bestFit="1" customWidth="1"/>
    <col min="7" max="7" width="14" bestFit="1" customWidth="1"/>
    <col min="13" max="13" width="21.5546875" bestFit="1" customWidth="1"/>
    <col min="14" max="14" width="22.88671875" bestFit="1" customWidth="1"/>
    <col min="15" max="15" width="13.5546875" bestFit="1" customWidth="1"/>
    <col min="16" max="16" width="19.88671875" bestFit="1" customWidth="1"/>
    <col min="17" max="17" width="19" bestFit="1" customWidth="1"/>
    <col min="18" max="18" width="11" bestFit="1" customWidth="1"/>
  </cols>
  <sheetData>
    <row r="2" spans="4:18" x14ac:dyDescent="0.3">
      <c r="D2" t="s">
        <v>112</v>
      </c>
    </row>
    <row r="3" spans="4:18" x14ac:dyDescent="0.3">
      <c r="D3" t="s">
        <v>300</v>
      </c>
      <c r="E3" t="s">
        <v>301</v>
      </c>
      <c r="F3" t="s">
        <v>315</v>
      </c>
      <c r="G3" t="s">
        <v>316</v>
      </c>
    </row>
    <row r="4" spans="4:18" ht="43.2" x14ac:dyDescent="0.3">
      <c r="D4" s="1" t="s">
        <v>33</v>
      </c>
      <c r="E4" s="1" t="s">
        <v>34</v>
      </c>
      <c r="F4" s="1" t="s">
        <v>309</v>
      </c>
      <c r="G4" s="1">
        <v>3</v>
      </c>
      <c r="M4" s="5" t="s">
        <v>318</v>
      </c>
      <c r="N4" s="5" t="s">
        <v>317</v>
      </c>
    </row>
    <row r="5" spans="4:18" ht="28.8" x14ac:dyDescent="0.3">
      <c r="D5" s="1" t="s">
        <v>33</v>
      </c>
      <c r="E5" s="1" t="s">
        <v>34</v>
      </c>
      <c r="F5" s="1" t="s">
        <v>310</v>
      </c>
      <c r="G5" s="1">
        <v>1</v>
      </c>
      <c r="M5" s="5" t="s">
        <v>11</v>
      </c>
      <c r="N5" t="s">
        <v>312</v>
      </c>
      <c r="O5" t="s">
        <v>310</v>
      </c>
      <c r="P5" t="s">
        <v>309</v>
      </c>
      <c r="Q5" t="s">
        <v>314</v>
      </c>
      <c r="R5" t="s">
        <v>13</v>
      </c>
    </row>
    <row r="6" spans="4:18" ht="43.2" x14ac:dyDescent="0.3">
      <c r="D6" s="1" t="s">
        <v>26</v>
      </c>
      <c r="E6" s="1" t="s">
        <v>104</v>
      </c>
      <c r="F6" s="1" t="s">
        <v>309</v>
      </c>
      <c r="G6" s="1">
        <v>1</v>
      </c>
      <c r="M6" s="6" t="s">
        <v>33</v>
      </c>
      <c r="N6" s="7"/>
      <c r="O6" s="7">
        <v>1</v>
      </c>
      <c r="P6" s="7">
        <v>3</v>
      </c>
      <c r="Q6" s="7"/>
      <c r="R6" s="7">
        <v>4</v>
      </c>
    </row>
    <row r="7" spans="4:18" ht="43.2" x14ac:dyDescent="0.3">
      <c r="D7" s="1" t="s">
        <v>26</v>
      </c>
      <c r="E7" s="1" t="s">
        <v>311</v>
      </c>
      <c r="F7" s="1" t="s">
        <v>309</v>
      </c>
      <c r="G7" s="1">
        <v>1</v>
      </c>
      <c r="M7" s="8" t="s">
        <v>34</v>
      </c>
      <c r="N7" s="7"/>
      <c r="O7" s="7">
        <v>1</v>
      </c>
      <c r="P7" s="7">
        <v>3</v>
      </c>
      <c r="Q7" s="7"/>
      <c r="R7" s="7">
        <v>4</v>
      </c>
    </row>
    <row r="8" spans="4:18" ht="43.2" x14ac:dyDescent="0.3">
      <c r="D8" s="1" t="s">
        <v>26</v>
      </c>
      <c r="E8" s="1" t="s">
        <v>53</v>
      </c>
      <c r="F8" s="1" t="s">
        <v>309</v>
      </c>
      <c r="G8" s="1">
        <v>1</v>
      </c>
      <c r="M8" s="6" t="s">
        <v>26</v>
      </c>
      <c r="N8" s="7">
        <v>1</v>
      </c>
      <c r="O8" s="7"/>
      <c r="P8" s="7">
        <v>3</v>
      </c>
      <c r="Q8" s="7">
        <v>1</v>
      </c>
      <c r="R8" s="7">
        <v>5</v>
      </c>
    </row>
    <row r="9" spans="4:18" ht="57.6" x14ac:dyDescent="0.3">
      <c r="D9" s="1" t="s">
        <v>26</v>
      </c>
      <c r="E9" s="1" t="s">
        <v>53</v>
      </c>
      <c r="F9" s="1" t="s">
        <v>312</v>
      </c>
      <c r="G9" s="1">
        <v>1</v>
      </c>
      <c r="M9" s="8" t="s">
        <v>104</v>
      </c>
      <c r="N9" s="7"/>
      <c r="O9" s="7"/>
      <c r="P9" s="7">
        <v>1</v>
      </c>
      <c r="Q9" s="7"/>
      <c r="R9" s="7">
        <v>1</v>
      </c>
    </row>
    <row r="10" spans="4:18" ht="43.2" x14ac:dyDescent="0.3">
      <c r="D10" s="1" t="s">
        <v>26</v>
      </c>
      <c r="E10" s="1" t="s">
        <v>313</v>
      </c>
      <c r="F10" s="1" t="s">
        <v>314</v>
      </c>
      <c r="G10" s="1">
        <v>1</v>
      </c>
      <c r="M10" s="8" t="s">
        <v>311</v>
      </c>
      <c r="N10" s="7"/>
      <c r="O10" s="7"/>
      <c r="P10" s="7">
        <v>1</v>
      </c>
      <c r="Q10" s="7"/>
      <c r="R10" s="7">
        <v>1</v>
      </c>
    </row>
    <row r="11" spans="4:18" x14ac:dyDescent="0.3">
      <c r="M11" s="8" t="s">
        <v>53</v>
      </c>
      <c r="N11" s="7">
        <v>1</v>
      </c>
      <c r="O11" s="7"/>
      <c r="P11" s="7">
        <v>1</v>
      </c>
      <c r="Q11" s="7"/>
      <c r="R11" s="7">
        <v>2</v>
      </c>
    </row>
    <row r="12" spans="4:18" x14ac:dyDescent="0.3">
      <c r="M12" s="8" t="s">
        <v>313</v>
      </c>
      <c r="N12" s="7"/>
      <c r="O12" s="7"/>
      <c r="P12" s="7"/>
      <c r="Q12" s="7">
        <v>1</v>
      </c>
      <c r="R12" s="7">
        <v>1</v>
      </c>
    </row>
    <row r="13" spans="4:18" x14ac:dyDescent="0.3">
      <c r="M13" s="6" t="s">
        <v>13</v>
      </c>
      <c r="N13" s="7">
        <v>1</v>
      </c>
      <c r="O13" s="7">
        <v>1</v>
      </c>
      <c r="P13" s="7">
        <v>6</v>
      </c>
      <c r="Q13" s="7">
        <v>1</v>
      </c>
      <c r="R13" s="7">
        <v>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EF07-48C8-41FF-9F71-9BAF1603C343}">
  <dimension ref="C3:H15"/>
  <sheetViews>
    <sheetView workbookViewId="0">
      <selection activeCell="F21" sqref="F21"/>
    </sheetView>
  </sheetViews>
  <sheetFormatPr defaultRowHeight="14.4" x14ac:dyDescent="0.3"/>
  <cols>
    <col min="3" max="3" width="8.77734375" bestFit="1" customWidth="1"/>
    <col min="5" max="5" width="9" bestFit="1" customWidth="1"/>
    <col min="6" max="6" width="25.44140625" bestFit="1" customWidth="1"/>
    <col min="7" max="7" width="16" bestFit="1" customWidth="1"/>
    <col min="8" max="8" width="13.5546875" bestFit="1" customWidth="1"/>
    <col min="9" max="9" width="19.88671875" bestFit="1" customWidth="1"/>
    <col min="10" max="10" width="19" bestFit="1" customWidth="1"/>
    <col min="11" max="11" width="11" bestFit="1" customWidth="1"/>
  </cols>
  <sheetData>
    <row r="3" spans="3:8" x14ac:dyDescent="0.3">
      <c r="C3" t="s">
        <v>112</v>
      </c>
    </row>
    <row r="5" spans="3:8" x14ac:dyDescent="0.3">
      <c r="C5" t="s">
        <v>319</v>
      </c>
      <c r="D5" t="s">
        <v>315</v>
      </c>
      <c r="E5" t="s">
        <v>320</v>
      </c>
      <c r="G5" s="5" t="s">
        <v>11</v>
      </c>
      <c r="H5" t="s">
        <v>321</v>
      </c>
    </row>
    <row r="6" spans="3:8" ht="43.2" x14ac:dyDescent="0.3">
      <c r="C6" s="1">
        <v>1992</v>
      </c>
      <c r="D6" s="1" t="s">
        <v>309</v>
      </c>
      <c r="E6" s="1">
        <v>2</v>
      </c>
      <c r="G6" s="6">
        <v>1992</v>
      </c>
      <c r="H6" s="7">
        <v>3</v>
      </c>
    </row>
    <row r="7" spans="3:8" ht="43.2" x14ac:dyDescent="0.3">
      <c r="C7" s="1">
        <v>1992</v>
      </c>
      <c r="D7" s="1" t="s">
        <v>314</v>
      </c>
      <c r="E7" s="1">
        <v>1</v>
      </c>
      <c r="G7" s="8" t="s">
        <v>309</v>
      </c>
      <c r="H7" s="7">
        <v>2</v>
      </c>
    </row>
    <row r="8" spans="3:8" ht="43.2" x14ac:dyDescent="0.3">
      <c r="C8" s="1">
        <v>1993</v>
      </c>
      <c r="D8" s="1" t="s">
        <v>309</v>
      </c>
      <c r="E8" s="1">
        <v>2</v>
      </c>
      <c r="G8" s="8" t="s">
        <v>314</v>
      </c>
      <c r="H8" s="7">
        <v>1</v>
      </c>
    </row>
    <row r="9" spans="3:8" ht="28.8" x14ac:dyDescent="0.3">
      <c r="C9" s="1">
        <v>1993</v>
      </c>
      <c r="D9" s="1" t="s">
        <v>310</v>
      </c>
      <c r="E9" s="1">
        <v>1</v>
      </c>
      <c r="G9" s="6">
        <v>1993</v>
      </c>
      <c r="H9" s="7">
        <v>3</v>
      </c>
    </row>
    <row r="10" spans="3:8" ht="43.2" x14ac:dyDescent="0.3">
      <c r="C10" s="1">
        <v>1994</v>
      </c>
      <c r="D10" s="1" t="s">
        <v>309</v>
      </c>
      <c r="E10" s="1">
        <v>2</v>
      </c>
      <c r="G10" s="8" t="s">
        <v>310</v>
      </c>
      <c r="H10" s="7">
        <v>1</v>
      </c>
    </row>
    <row r="11" spans="3:8" ht="57.6" x14ac:dyDescent="0.3">
      <c r="C11" s="1">
        <v>1994</v>
      </c>
      <c r="D11" s="1" t="s">
        <v>312</v>
      </c>
      <c r="E11" s="1">
        <v>1</v>
      </c>
      <c r="G11" s="8" t="s">
        <v>309</v>
      </c>
      <c r="H11" s="7">
        <v>2</v>
      </c>
    </row>
    <row r="12" spans="3:8" x14ac:dyDescent="0.3">
      <c r="G12" s="6">
        <v>1994</v>
      </c>
      <c r="H12" s="7">
        <v>3</v>
      </c>
    </row>
    <row r="13" spans="3:8" x14ac:dyDescent="0.3">
      <c r="G13" s="8" t="s">
        <v>312</v>
      </c>
      <c r="H13" s="7">
        <v>1</v>
      </c>
    </row>
    <row r="14" spans="3:8" x14ac:dyDescent="0.3">
      <c r="G14" s="8" t="s">
        <v>309</v>
      </c>
      <c r="H14" s="7">
        <v>2</v>
      </c>
    </row>
    <row r="15" spans="3:8" x14ac:dyDescent="0.3">
      <c r="G15" s="6" t="s">
        <v>13</v>
      </c>
      <c r="H15" s="7">
        <v>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FE5E-97D4-4D2A-BBF0-9FE6D4BEA897}">
  <dimension ref="C1:N14"/>
  <sheetViews>
    <sheetView workbookViewId="0">
      <selection activeCell="M21" sqref="M21"/>
    </sheetView>
  </sheetViews>
  <sheetFormatPr defaultRowHeight="14.4" x14ac:dyDescent="0.3"/>
  <cols>
    <col min="4" max="4" width="14" bestFit="1" customWidth="1"/>
    <col min="5" max="5" width="15" bestFit="1" customWidth="1"/>
    <col min="13" max="13" width="25.44140625" bestFit="1" customWidth="1"/>
    <col min="14" max="14" width="22.44140625" bestFit="1" customWidth="1"/>
  </cols>
  <sheetData>
    <row r="1" spans="3:14" x14ac:dyDescent="0.3">
      <c r="C1" t="s">
        <v>112</v>
      </c>
    </row>
    <row r="3" spans="3:14" x14ac:dyDescent="0.3">
      <c r="M3" s="5" t="s">
        <v>11</v>
      </c>
      <c r="N3" t="s">
        <v>329</v>
      </c>
    </row>
    <row r="4" spans="3:14" x14ac:dyDescent="0.3">
      <c r="C4" t="s">
        <v>326</v>
      </c>
      <c r="D4" t="s">
        <v>327</v>
      </c>
      <c r="E4" t="s">
        <v>328</v>
      </c>
      <c r="M4" s="6" t="s">
        <v>325</v>
      </c>
      <c r="N4" s="7">
        <v>1</v>
      </c>
    </row>
    <row r="5" spans="3:14" ht="57.6" x14ac:dyDescent="0.3">
      <c r="C5" s="1" t="s">
        <v>312</v>
      </c>
      <c r="D5" s="1" t="s">
        <v>322</v>
      </c>
      <c r="E5" s="1">
        <v>1</v>
      </c>
      <c r="M5" s="8" t="s">
        <v>314</v>
      </c>
      <c r="N5" s="7">
        <v>1</v>
      </c>
    </row>
    <row r="6" spans="3:14" ht="28.8" x14ac:dyDescent="0.3">
      <c r="C6" s="1" t="s">
        <v>310</v>
      </c>
      <c r="D6" s="1" t="s">
        <v>323</v>
      </c>
      <c r="E6" s="1">
        <v>1</v>
      </c>
      <c r="M6" s="6" t="s">
        <v>323</v>
      </c>
      <c r="N6" s="7">
        <v>3</v>
      </c>
    </row>
    <row r="7" spans="3:14" ht="43.2" x14ac:dyDescent="0.3">
      <c r="C7" s="1" t="s">
        <v>309</v>
      </c>
      <c r="D7" s="1" t="s">
        <v>322</v>
      </c>
      <c r="E7" s="1">
        <v>3</v>
      </c>
      <c r="M7" s="8" t="s">
        <v>310</v>
      </c>
      <c r="N7" s="7">
        <v>1</v>
      </c>
    </row>
    <row r="8" spans="3:14" ht="43.2" x14ac:dyDescent="0.3">
      <c r="C8" s="1" t="s">
        <v>309</v>
      </c>
      <c r="D8" s="1" t="s">
        <v>323</v>
      </c>
      <c r="E8" s="1">
        <v>2</v>
      </c>
      <c r="M8" s="8" t="s">
        <v>309</v>
      </c>
      <c r="N8" s="7">
        <v>2</v>
      </c>
    </row>
    <row r="9" spans="3:14" ht="43.2" x14ac:dyDescent="0.3">
      <c r="C9" s="1" t="s">
        <v>309</v>
      </c>
      <c r="D9" s="1" t="s">
        <v>324</v>
      </c>
      <c r="E9" s="1">
        <v>1</v>
      </c>
      <c r="M9" s="6" t="s">
        <v>324</v>
      </c>
      <c r="N9" s="7">
        <v>1</v>
      </c>
    </row>
    <row r="10" spans="3:14" ht="43.2" x14ac:dyDescent="0.3">
      <c r="C10" s="1" t="s">
        <v>314</v>
      </c>
      <c r="D10" s="1" t="s">
        <v>325</v>
      </c>
      <c r="E10" s="1">
        <v>1</v>
      </c>
      <c r="M10" s="8" t="s">
        <v>309</v>
      </c>
      <c r="N10" s="7">
        <v>1</v>
      </c>
    </row>
    <row r="11" spans="3:14" x14ac:dyDescent="0.3">
      <c r="M11" s="6" t="s">
        <v>322</v>
      </c>
      <c r="N11" s="7">
        <v>4</v>
      </c>
    </row>
    <row r="12" spans="3:14" x14ac:dyDescent="0.3">
      <c r="M12" s="8" t="s">
        <v>312</v>
      </c>
      <c r="N12" s="7">
        <v>1</v>
      </c>
    </row>
    <row r="13" spans="3:14" x14ac:dyDescent="0.3">
      <c r="M13" s="8" t="s">
        <v>309</v>
      </c>
      <c r="N13" s="7">
        <v>3</v>
      </c>
    </row>
    <row r="14" spans="3:14" x14ac:dyDescent="0.3">
      <c r="M14" s="6" t="s">
        <v>13</v>
      </c>
      <c r="N14" s="7">
        <v>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B4AA-5FBD-4DD4-A34D-161163C9FDAE}">
  <dimension ref="D5:Q85"/>
  <sheetViews>
    <sheetView topLeftCell="F1" workbookViewId="0">
      <selection activeCell="S13" sqref="S13"/>
    </sheetView>
  </sheetViews>
  <sheetFormatPr defaultRowHeight="14.4" x14ac:dyDescent="0.3"/>
  <cols>
    <col min="4" max="4" width="9.44140625" bestFit="1" customWidth="1"/>
    <col min="5" max="5" width="12.88671875" bestFit="1" customWidth="1"/>
    <col min="6" max="6" width="6.5546875" bestFit="1" customWidth="1"/>
    <col min="7" max="7" width="5.5546875" bestFit="1" customWidth="1"/>
    <col min="8" max="8" width="17.44140625" bestFit="1" customWidth="1"/>
    <col min="9" max="9" width="12.33203125" bestFit="1" customWidth="1"/>
    <col min="13" max="13" width="31.109375" bestFit="1" customWidth="1"/>
    <col min="14" max="14" width="19.88671875" bestFit="1" customWidth="1"/>
    <col min="15" max="15" width="11.88671875" bestFit="1" customWidth="1"/>
    <col min="16" max="16" width="12.21875" bestFit="1" customWidth="1"/>
    <col min="17" max="17" width="24.5546875" bestFit="1" customWidth="1"/>
    <col min="18" max="18" width="18" bestFit="1" customWidth="1"/>
    <col min="19" max="19" width="15.77734375" bestFit="1" customWidth="1"/>
    <col min="20" max="21" width="8" bestFit="1" customWidth="1"/>
    <col min="22" max="22" width="16" bestFit="1" customWidth="1"/>
    <col min="23" max="23" width="27.77734375" bestFit="1" customWidth="1"/>
    <col min="24" max="24" width="22.88671875" bestFit="1" customWidth="1"/>
    <col min="25" max="25" width="10.44140625" bestFit="1" customWidth="1"/>
    <col min="26" max="26" width="22.21875" bestFit="1" customWidth="1"/>
    <col min="27" max="27" width="7.6640625" bestFit="1" customWidth="1"/>
    <col min="28" max="28" width="12.88671875" bestFit="1" customWidth="1"/>
    <col min="29" max="29" width="7.44140625" bestFit="1" customWidth="1"/>
    <col min="30" max="30" width="13.88671875" bestFit="1" customWidth="1"/>
    <col min="31" max="31" width="21.21875" bestFit="1" customWidth="1"/>
    <col min="32" max="32" width="16.88671875" bestFit="1" customWidth="1"/>
    <col min="33" max="33" width="28.88671875" bestFit="1" customWidth="1"/>
    <col min="34" max="34" width="10" bestFit="1" customWidth="1"/>
    <col min="35" max="35" width="19.44140625" bestFit="1" customWidth="1"/>
    <col min="36" max="36" width="17.21875" bestFit="1" customWidth="1"/>
    <col min="37" max="37" width="12.33203125" bestFit="1" customWidth="1"/>
    <col min="38" max="38" width="24.44140625" bestFit="1" customWidth="1"/>
    <col min="39" max="39" width="21.5546875" bestFit="1" customWidth="1"/>
    <col min="40" max="40" width="8" bestFit="1" customWidth="1"/>
    <col min="41" max="41" width="9.44140625" bestFit="1" customWidth="1"/>
    <col min="42" max="42" width="11.33203125" bestFit="1" customWidth="1"/>
    <col min="43" max="43" width="31.6640625" bestFit="1" customWidth="1"/>
    <col min="44" max="44" width="7" bestFit="1" customWidth="1"/>
    <col min="45" max="45" width="13.77734375" bestFit="1" customWidth="1"/>
    <col min="46" max="46" width="25" bestFit="1" customWidth="1"/>
    <col min="47" max="47" width="12.33203125" bestFit="1" customWidth="1"/>
    <col min="48" max="48" width="30.6640625" bestFit="1" customWidth="1"/>
    <col min="49" max="49" width="24.109375" bestFit="1" customWidth="1"/>
    <col min="50" max="50" width="21.6640625" bestFit="1" customWidth="1"/>
    <col min="51" max="51" width="18" bestFit="1" customWidth="1"/>
    <col min="52" max="52" width="8.5546875" bestFit="1" customWidth="1"/>
    <col min="53" max="53" width="15.109375" bestFit="1" customWidth="1"/>
    <col min="54" max="54" width="20.77734375" bestFit="1" customWidth="1"/>
    <col min="55" max="55" width="21.21875" bestFit="1" customWidth="1"/>
    <col min="56" max="56" width="27.109375" bestFit="1" customWidth="1"/>
    <col min="57" max="57" width="27.6640625" bestFit="1" customWidth="1"/>
    <col min="58" max="58" width="31.5546875" bestFit="1" customWidth="1"/>
    <col min="59" max="59" width="13.44140625" bestFit="1" customWidth="1"/>
    <col min="60" max="60" width="14.33203125" bestFit="1" customWidth="1"/>
    <col min="61" max="61" width="9" bestFit="1" customWidth="1"/>
    <col min="62" max="62" width="12.44140625" bestFit="1" customWidth="1"/>
    <col min="63" max="63" width="15" bestFit="1" customWidth="1"/>
    <col min="64" max="64" width="25.77734375" bestFit="1" customWidth="1"/>
    <col min="65" max="65" width="12.21875" bestFit="1" customWidth="1"/>
    <col min="66" max="66" width="11.21875" bestFit="1" customWidth="1"/>
    <col min="67" max="67" width="18.21875" bestFit="1" customWidth="1"/>
    <col min="68" max="68" width="19.6640625" bestFit="1" customWidth="1"/>
    <col min="69" max="69" width="13.44140625" bestFit="1" customWidth="1"/>
    <col min="70" max="70" width="22.21875" bestFit="1" customWidth="1"/>
    <col min="71" max="71" width="13.33203125" bestFit="1" customWidth="1"/>
    <col min="72" max="72" width="18.5546875" bestFit="1" customWidth="1"/>
    <col min="73" max="73" width="19" bestFit="1" customWidth="1"/>
    <col min="74" max="74" width="29.109375" bestFit="1" customWidth="1"/>
    <col min="75" max="75" width="22.21875" bestFit="1" customWidth="1"/>
    <col min="76" max="76" width="18.88671875" bestFit="1" customWidth="1"/>
    <col min="77" max="77" width="14.5546875" bestFit="1" customWidth="1"/>
    <col min="78" max="78" width="9.5546875" bestFit="1" customWidth="1"/>
    <col min="79" max="79" width="14" bestFit="1" customWidth="1"/>
    <col min="80" max="80" width="13.33203125" bestFit="1" customWidth="1"/>
    <col min="81" max="81" width="25.44140625" bestFit="1" customWidth="1"/>
    <col min="82" max="82" width="24" bestFit="1" customWidth="1"/>
    <col min="83" max="83" width="7" bestFit="1" customWidth="1"/>
    <col min="84" max="84" width="10" bestFit="1" customWidth="1"/>
    <col min="85" max="85" width="10.44140625" bestFit="1" customWidth="1"/>
    <col min="86" max="86" width="29.44140625" bestFit="1" customWidth="1"/>
    <col min="87" max="87" width="15.6640625" bestFit="1" customWidth="1"/>
    <col min="88" max="88" width="12.44140625" bestFit="1" customWidth="1"/>
    <col min="89" max="89" width="29.109375" bestFit="1" customWidth="1"/>
    <col min="90" max="90" width="14" bestFit="1" customWidth="1"/>
    <col min="91" max="91" width="11" bestFit="1" customWidth="1"/>
  </cols>
  <sheetData>
    <row r="5" spans="4:17" x14ac:dyDescent="0.3">
      <c r="D5" t="s">
        <v>112</v>
      </c>
    </row>
    <row r="6" spans="4:17" x14ac:dyDescent="0.3">
      <c r="D6" t="s">
        <v>302</v>
      </c>
      <c r="E6" t="s">
        <v>330</v>
      </c>
      <c r="F6" t="s">
        <v>331</v>
      </c>
      <c r="G6" t="s">
        <v>332</v>
      </c>
      <c r="H6" t="s">
        <v>333</v>
      </c>
      <c r="I6" t="s">
        <v>19</v>
      </c>
    </row>
    <row r="7" spans="4:17" ht="28.8" x14ac:dyDescent="0.3">
      <c r="D7" s="1">
        <v>38</v>
      </c>
      <c r="E7" s="1" t="s">
        <v>216</v>
      </c>
      <c r="F7" s="1">
        <v>263.5</v>
      </c>
      <c r="G7" s="1">
        <v>17</v>
      </c>
      <c r="H7" s="1">
        <v>623</v>
      </c>
      <c r="I7" s="1">
        <v>149984.20000000001</v>
      </c>
      <c r="M7" s="5" t="s">
        <v>11</v>
      </c>
      <c r="N7" t="s">
        <v>116</v>
      </c>
      <c r="O7" t="s">
        <v>334</v>
      </c>
      <c r="P7" t="s">
        <v>335</v>
      </c>
      <c r="Q7" t="s">
        <v>336</v>
      </c>
    </row>
    <row r="8" spans="4:17" ht="57.6" x14ac:dyDescent="0.3">
      <c r="D8" s="1">
        <v>29</v>
      </c>
      <c r="E8" s="1" t="s">
        <v>217</v>
      </c>
      <c r="F8" s="1">
        <v>123.79</v>
      </c>
      <c r="G8" s="1">
        <v>0</v>
      </c>
      <c r="H8" s="1">
        <v>746</v>
      </c>
      <c r="I8" s="1">
        <v>87736.4</v>
      </c>
      <c r="M8" s="6" t="s">
        <v>223</v>
      </c>
      <c r="N8" s="7">
        <v>35482.199999999997</v>
      </c>
      <c r="O8" s="7">
        <v>39</v>
      </c>
      <c r="P8" s="7">
        <v>0</v>
      </c>
      <c r="Q8" s="7">
        <v>978</v>
      </c>
    </row>
    <row r="9" spans="4:17" ht="43.2" x14ac:dyDescent="0.3">
      <c r="D9" s="1">
        <v>59</v>
      </c>
      <c r="E9" s="1" t="s">
        <v>218</v>
      </c>
      <c r="F9" s="1">
        <v>55</v>
      </c>
      <c r="G9" s="1">
        <v>79</v>
      </c>
      <c r="H9" s="1">
        <v>1496</v>
      </c>
      <c r="I9" s="1">
        <v>76296</v>
      </c>
      <c r="M9" s="6" t="s">
        <v>286</v>
      </c>
      <c r="N9" s="7">
        <v>3080</v>
      </c>
      <c r="O9" s="7">
        <v>10</v>
      </c>
      <c r="P9" s="7">
        <v>13</v>
      </c>
      <c r="Q9" s="7">
        <v>328</v>
      </c>
    </row>
    <row r="10" spans="4:17" ht="43.2" x14ac:dyDescent="0.3">
      <c r="D10" s="1">
        <v>60</v>
      </c>
      <c r="E10" s="1" t="s">
        <v>219</v>
      </c>
      <c r="F10" s="1">
        <v>34</v>
      </c>
      <c r="G10" s="1">
        <v>19</v>
      </c>
      <c r="H10" s="1">
        <v>1577</v>
      </c>
      <c r="I10" s="1">
        <v>50286</v>
      </c>
      <c r="M10" s="6" t="s">
        <v>237</v>
      </c>
      <c r="N10" s="7">
        <v>19048.3</v>
      </c>
      <c r="O10" s="7">
        <v>18.399999999999999</v>
      </c>
      <c r="P10" s="7">
        <v>123</v>
      </c>
      <c r="Q10" s="7">
        <v>1103</v>
      </c>
    </row>
    <row r="11" spans="4:17" ht="28.8" x14ac:dyDescent="0.3">
      <c r="D11" s="1">
        <v>62</v>
      </c>
      <c r="E11" s="1" t="s">
        <v>220</v>
      </c>
      <c r="F11" s="1">
        <v>49.3</v>
      </c>
      <c r="G11" s="1">
        <v>17</v>
      </c>
      <c r="H11" s="1">
        <v>1083</v>
      </c>
      <c r="I11" s="1">
        <v>49827.9</v>
      </c>
      <c r="M11" s="6" t="s">
        <v>216</v>
      </c>
      <c r="N11" s="7">
        <v>149984.20000000001</v>
      </c>
      <c r="O11" s="7">
        <v>263.5</v>
      </c>
      <c r="P11" s="7">
        <v>17</v>
      </c>
      <c r="Q11" s="7">
        <v>623</v>
      </c>
    </row>
    <row r="12" spans="4:17" ht="43.2" x14ac:dyDescent="0.3">
      <c r="D12" s="1">
        <v>56</v>
      </c>
      <c r="E12" s="1" t="s">
        <v>221</v>
      </c>
      <c r="F12" s="1">
        <v>38</v>
      </c>
      <c r="G12" s="1">
        <v>21</v>
      </c>
      <c r="H12" s="1">
        <v>1263</v>
      </c>
      <c r="I12" s="1">
        <v>45121.2</v>
      </c>
      <c r="M12" s="6" t="s">
        <v>219</v>
      </c>
      <c r="N12" s="7">
        <v>50286</v>
      </c>
      <c r="O12" s="7">
        <v>34</v>
      </c>
      <c r="P12" s="7">
        <v>19</v>
      </c>
      <c r="Q12" s="7">
        <v>1577</v>
      </c>
    </row>
    <row r="13" spans="4:17" ht="43.2" x14ac:dyDescent="0.3">
      <c r="D13" s="1">
        <v>51</v>
      </c>
      <c r="E13" s="1" t="s">
        <v>222</v>
      </c>
      <c r="F13" s="1">
        <v>53</v>
      </c>
      <c r="G13" s="1">
        <v>20</v>
      </c>
      <c r="H13" s="1">
        <v>886</v>
      </c>
      <c r="I13" s="1">
        <v>44742.6</v>
      </c>
      <c r="M13" s="6" t="s">
        <v>224</v>
      </c>
      <c r="N13" s="7">
        <v>31987.5</v>
      </c>
      <c r="O13" s="7">
        <v>62.5</v>
      </c>
      <c r="P13" s="7">
        <v>42</v>
      </c>
      <c r="Q13" s="7">
        <v>539</v>
      </c>
    </row>
    <row r="14" spans="4:17" ht="28.8" x14ac:dyDescent="0.3">
      <c r="D14" s="1">
        <v>17</v>
      </c>
      <c r="E14" s="1" t="s">
        <v>223</v>
      </c>
      <c r="F14" s="1">
        <v>39</v>
      </c>
      <c r="G14" s="1">
        <v>0</v>
      </c>
      <c r="H14" s="1">
        <v>978</v>
      </c>
      <c r="I14" s="1">
        <v>35482.199999999997</v>
      </c>
      <c r="M14" s="6" t="s">
        <v>249</v>
      </c>
      <c r="N14" s="7">
        <v>14277.6</v>
      </c>
      <c r="O14" s="7">
        <v>18</v>
      </c>
      <c r="P14" s="7">
        <v>39</v>
      </c>
      <c r="Q14" s="7">
        <v>828</v>
      </c>
    </row>
    <row r="15" spans="4:17" ht="28.8" x14ac:dyDescent="0.3">
      <c r="D15" s="1">
        <v>18</v>
      </c>
      <c r="E15" s="1" t="s">
        <v>224</v>
      </c>
      <c r="F15" s="1">
        <v>62.5</v>
      </c>
      <c r="G15" s="1">
        <v>42</v>
      </c>
      <c r="H15" s="1">
        <v>539</v>
      </c>
      <c r="I15" s="1">
        <v>31987.5</v>
      </c>
      <c r="M15" s="6" t="s">
        <v>239</v>
      </c>
      <c r="N15" s="7">
        <v>18559.2</v>
      </c>
      <c r="O15" s="7">
        <v>19</v>
      </c>
      <c r="P15" s="7">
        <v>17</v>
      </c>
      <c r="Q15" s="7">
        <v>1057</v>
      </c>
    </row>
    <row r="16" spans="4:17" ht="43.2" x14ac:dyDescent="0.3">
      <c r="D16" s="1">
        <v>28</v>
      </c>
      <c r="E16" s="1" t="s">
        <v>225</v>
      </c>
      <c r="F16" s="1">
        <v>45.6</v>
      </c>
      <c r="G16" s="1">
        <v>26</v>
      </c>
      <c r="H16" s="1">
        <v>640</v>
      </c>
      <c r="I16" s="1">
        <v>26865.599999999999</v>
      </c>
      <c r="M16" s="6" t="s">
        <v>252</v>
      </c>
      <c r="N16" s="7">
        <v>13150.8</v>
      </c>
      <c r="O16" s="7">
        <v>18</v>
      </c>
      <c r="P16" s="7">
        <v>69</v>
      </c>
      <c r="Q16" s="7">
        <v>793</v>
      </c>
    </row>
    <row r="17" spans="4:17" ht="43.2" x14ac:dyDescent="0.3">
      <c r="D17" s="1">
        <v>72</v>
      </c>
      <c r="E17" s="1" t="s">
        <v>226</v>
      </c>
      <c r="F17" s="1">
        <v>34.799999999999997</v>
      </c>
      <c r="G17" s="1">
        <v>14</v>
      </c>
      <c r="H17" s="1">
        <v>806</v>
      </c>
      <c r="I17" s="1">
        <v>25738.799999999999</v>
      </c>
      <c r="M17" s="6" t="s">
        <v>259</v>
      </c>
      <c r="N17" s="7">
        <v>9424.7999999999993</v>
      </c>
      <c r="O17" s="7">
        <v>22</v>
      </c>
      <c r="P17" s="7">
        <v>53</v>
      </c>
      <c r="Q17" s="7">
        <v>453</v>
      </c>
    </row>
    <row r="18" spans="4:17" ht="28.8" x14ac:dyDescent="0.3">
      <c r="D18" s="1">
        <v>43</v>
      </c>
      <c r="E18" s="1" t="s">
        <v>227</v>
      </c>
      <c r="F18" s="1">
        <v>46</v>
      </c>
      <c r="G18" s="1">
        <v>17</v>
      </c>
      <c r="H18" s="1">
        <v>580</v>
      </c>
      <c r="I18" s="1">
        <v>25079.200000000001</v>
      </c>
      <c r="M18" s="6" t="s">
        <v>274</v>
      </c>
      <c r="N18" s="7">
        <v>5801.15</v>
      </c>
      <c r="O18" s="7">
        <v>21.35</v>
      </c>
      <c r="P18" s="7">
        <v>0</v>
      </c>
      <c r="Q18" s="7">
        <v>298</v>
      </c>
    </row>
    <row r="19" spans="4:17" ht="28.8" x14ac:dyDescent="0.3">
      <c r="D19" s="1">
        <v>69</v>
      </c>
      <c r="E19" s="1" t="s">
        <v>228</v>
      </c>
      <c r="F19" s="1">
        <v>36</v>
      </c>
      <c r="G19" s="1">
        <v>26</v>
      </c>
      <c r="H19" s="1">
        <v>714</v>
      </c>
      <c r="I19" s="1">
        <v>24307.200000000001</v>
      </c>
      <c r="M19" s="6" t="s">
        <v>292</v>
      </c>
      <c r="N19" s="7">
        <v>1542.75</v>
      </c>
      <c r="O19" s="7">
        <v>12.75</v>
      </c>
      <c r="P19" s="7">
        <v>15</v>
      </c>
      <c r="Q19" s="7">
        <v>138</v>
      </c>
    </row>
    <row r="20" spans="4:17" ht="57.6" x14ac:dyDescent="0.3">
      <c r="D20" s="1">
        <v>20</v>
      </c>
      <c r="E20" s="1" t="s">
        <v>229</v>
      </c>
      <c r="F20" s="1">
        <v>81</v>
      </c>
      <c r="G20" s="1">
        <v>40</v>
      </c>
      <c r="H20" s="1">
        <v>313</v>
      </c>
      <c r="I20" s="1">
        <v>23635.8</v>
      </c>
      <c r="M20" s="6" t="s">
        <v>271</v>
      </c>
      <c r="N20" s="7">
        <v>6664.75</v>
      </c>
      <c r="O20" s="7">
        <v>13.25</v>
      </c>
      <c r="P20" s="7">
        <v>62</v>
      </c>
      <c r="Q20" s="7">
        <v>534</v>
      </c>
    </row>
    <row r="21" spans="4:17" ht="57.6" x14ac:dyDescent="0.3">
      <c r="D21" s="1">
        <v>64</v>
      </c>
      <c r="E21" s="1" t="s">
        <v>230</v>
      </c>
      <c r="F21" s="1">
        <v>33.25</v>
      </c>
      <c r="G21" s="1">
        <v>22</v>
      </c>
      <c r="H21" s="1">
        <v>740</v>
      </c>
      <c r="I21" s="1">
        <v>23009</v>
      </c>
      <c r="M21" s="6" t="s">
        <v>285</v>
      </c>
      <c r="N21" s="7">
        <v>3383.8</v>
      </c>
      <c r="O21" s="7">
        <v>7</v>
      </c>
      <c r="P21" s="7">
        <v>38</v>
      </c>
      <c r="Q21" s="7">
        <v>500</v>
      </c>
    </row>
    <row r="22" spans="4:17" ht="72" x14ac:dyDescent="0.3">
      <c r="D22" s="1">
        <v>7</v>
      </c>
      <c r="E22" s="1" t="s">
        <v>231</v>
      </c>
      <c r="F22" s="1">
        <v>30</v>
      </c>
      <c r="G22" s="1">
        <v>15</v>
      </c>
      <c r="H22" s="1">
        <v>763</v>
      </c>
      <c r="I22" s="1">
        <v>22464</v>
      </c>
      <c r="M22" s="6" t="s">
        <v>235</v>
      </c>
      <c r="N22" s="7">
        <v>20876.5</v>
      </c>
      <c r="O22" s="7">
        <v>21.5</v>
      </c>
      <c r="P22" s="7">
        <v>26</v>
      </c>
      <c r="Q22" s="7">
        <v>1057</v>
      </c>
    </row>
    <row r="23" spans="4:17" x14ac:dyDescent="0.3">
      <c r="D23" s="1">
        <v>10</v>
      </c>
      <c r="E23" s="1" t="s">
        <v>232</v>
      </c>
      <c r="F23" s="1">
        <v>31</v>
      </c>
      <c r="G23" s="1">
        <v>31</v>
      </c>
      <c r="H23" s="1">
        <v>742</v>
      </c>
      <c r="I23" s="1">
        <v>22140.2</v>
      </c>
      <c r="M23" s="6" t="s">
        <v>291</v>
      </c>
      <c r="N23" s="7">
        <v>1713.5</v>
      </c>
      <c r="O23" s="7">
        <v>2.5</v>
      </c>
      <c r="P23" s="7">
        <v>112</v>
      </c>
      <c r="Q23" s="7">
        <v>755</v>
      </c>
    </row>
    <row r="24" spans="4:17" ht="43.2" x14ac:dyDescent="0.3">
      <c r="D24" s="1">
        <v>26</v>
      </c>
      <c r="E24" s="1" t="s">
        <v>233</v>
      </c>
      <c r="F24" s="1">
        <v>31.23</v>
      </c>
      <c r="G24" s="1">
        <v>15</v>
      </c>
      <c r="H24" s="1">
        <v>753</v>
      </c>
      <c r="I24" s="1">
        <v>21534.9</v>
      </c>
      <c r="M24" s="6" t="s">
        <v>290</v>
      </c>
      <c r="N24" s="7">
        <v>1813.5</v>
      </c>
      <c r="O24" s="7">
        <v>15.5</v>
      </c>
      <c r="P24" s="7">
        <v>39</v>
      </c>
      <c r="Q24" s="7">
        <v>122</v>
      </c>
    </row>
    <row r="25" spans="4:17" ht="28.8" x14ac:dyDescent="0.3">
      <c r="D25" s="1">
        <v>53</v>
      </c>
      <c r="E25" s="1" t="s">
        <v>234</v>
      </c>
      <c r="F25" s="1">
        <v>32.799999999999997</v>
      </c>
      <c r="G25" s="1">
        <v>0</v>
      </c>
      <c r="H25" s="1">
        <v>722</v>
      </c>
      <c r="I25" s="1">
        <v>21510.2</v>
      </c>
      <c r="M25" s="6" t="s">
        <v>221</v>
      </c>
      <c r="N25" s="7">
        <v>45121.2</v>
      </c>
      <c r="O25" s="7">
        <v>38</v>
      </c>
      <c r="P25" s="7">
        <v>21</v>
      </c>
      <c r="Q25" s="7">
        <v>1263</v>
      </c>
    </row>
    <row r="26" spans="4:17" ht="28.8" x14ac:dyDescent="0.3">
      <c r="D26" s="1">
        <v>71</v>
      </c>
      <c r="E26" s="1" t="s">
        <v>235</v>
      </c>
      <c r="F26" s="1">
        <v>21.5</v>
      </c>
      <c r="G26" s="1">
        <v>26</v>
      </c>
      <c r="H26" s="1">
        <v>1057</v>
      </c>
      <c r="I26" s="1">
        <v>20876.5</v>
      </c>
      <c r="M26" s="6" t="s">
        <v>243</v>
      </c>
      <c r="N26" s="7">
        <v>16172.5</v>
      </c>
      <c r="O26" s="7">
        <v>12.5</v>
      </c>
      <c r="P26" s="7">
        <v>0</v>
      </c>
      <c r="Q26" s="7">
        <v>1397</v>
      </c>
    </row>
    <row r="27" spans="4:17" ht="28.8" x14ac:dyDescent="0.3">
      <c r="D27" s="1">
        <v>55</v>
      </c>
      <c r="E27" s="1" t="s">
        <v>236</v>
      </c>
      <c r="F27" s="1">
        <v>24</v>
      </c>
      <c r="G27" s="1">
        <v>115</v>
      </c>
      <c r="H27" s="1">
        <v>903</v>
      </c>
      <c r="I27" s="1">
        <v>19512</v>
      </c>
      <c r="M27" s="6" t="s">
        <v>268</v>
      </c>
      <c r="N27" s="7">
        <v>7345</v>
      </c>
      <c r="O27" s="7">
        <v>25</v>
      </c>
      <c r="P27" s="7">
        <v>120</v>
      </c>
      <c r="Q27" s="7">
        <v>301</v>
      </c>
    </row>
    <row r="28" spans="4:17" ht="43.2" x14ac:dyDescent="0.3">
      <c r="D28" s="1">
        <v>40</v>
      </c>
      <c r="E28" s="1" t="s">
        <v>237</v>
      </c>
      <c r="F28" s="1">
        <v>18.399999999999999</v>
      </c>
      <c r="G28" s="1">
        <v>123</v>
      </c>
      <c r="H28" s="1">
        <v>1103</v>
      </c>
      <c r="I28" s="1">
        <v>19048.3</v>
      </c>
      <c r="M28" s="6" t="s">
        <v>287</v>
      </c>
      <c r="N28" s="7">
        <v>3047.2</v>
      </c>
      <c r="O28" s="7">
        <v>26</v>
      </c>
      <c r="P28" s="7">
        <v>11</v>
      </c>
      <c r="Q28" s="7">
        <v>125</v>
      </c>
    </row>
    <row r="29" spans="4:17" x14ac:dyDescent="0.3">
      <c r="D29" s="1">
        <v>16</v>
      </c>
      <c r="E29" s="1" t="s">
        <v>238</v>
      </c>
      <c r="F29" s="1">
        <v>17.45</v>
      </c>
      <c r="G29" s="1">
        <v>29</v>
      </c>
      <c r="H29" s="1">
        <v>1158</v>
      </c>
      <c r="I29" s="1">
        <v>18748.05</v>
      </c>
      <c r="M29" s="6" t="s">
        <v>278</v>
      </c>
      <c r="N29" s="7">
        <v>4782.6000000000004</v>
      </c>
      <c r="O29" s="7">
        <v>4.5</v>
      </c>
      <c r="P29" s="7">
        <v>20</v>
      </c>
      <c r="Q29" s="7">
        <v>1125</v>
      </c>
    </row>
    <row r="30" spans="4:17" x14ac:dyDescent="0.3">
      <c r="D30" s="1">
        <v>2</v>
      </c>
      <c r="E30" s="1" t="s">
        <v>239</v>
      </c>
      <c r="F30" s="1">
        <v>19</v>
      </c>
      <c r="G30" s="1">
        <v>17</v>
      </c>
      <c r="H30" s="1">
        <v>1057</v>
      </c>
      <c r="I30" s="1">
        <v>18559.2</v>
      </c>
      <c r="M30" s="6" t="s">
        <v>228</v>
      </c>
      <c r="N30" s="7">
        <v>24307.200000000001</v>
      </c>
      <c r="O30" s="7">
        <v>36</v>
      </c>
      <c r="P30" s="7">
        <v>26</v>
      </c>
      <c r="Q30" s="7">
        <v>714</v>
      </c>
    </row>
    <row r="31" spans="4:17" ht="28.8" x14ac:dyDescent="0.3">
      <c r="D31" s="1">
        <v>63</v>
      </c>
      <c r="E31" s="1" t="s">
        <v>240</v>
      </c>
      <c r="F31" s="1">
        <v>43.9</v>
      </c>
      <c r="G31" s="1">
        <v>24</v>
      </c>
      <c r="H31" s="1">
        <v>445</v>
      </c>
      <c r="I31" s="1">
        <v>17696.3</v>
      </c>
      <c r="M31" s="6" t="s">
        <v>255</v>
      </c>
      <c r="N31" s="7">
        <v>10524.2</v>
      </c>
      <c r="O31" s="7">
        <v>19.45</v>
      </c>
      <c r="P31" s="7">
        <v>27</v>
      </c>
      <c r="Q31" s="7">
        <v>601</v>
      </c>
    </row>
    <row r="32" spans="4:17" ht="28.8" x14ac:dyDescent="0.3">
      <c r="D32" s="1">
        <v>76</v>
      </c>
      <c r="E32" s="1" t="s">
        <v>241</v>
      </c>
      <c r="F32" s="1">
        <v>18</v>
      </c>
      <c r="G32" s="1">
        <v>57</v>
      </c>
      <c r="H32" s="1">
        <v>981</v>
      </c>
      <c r="I32" s="1">
        <v>16794</v>
      </c>
      <c r="M32" s="6" t="s">
        <v>233</v>
      </c>
      <c r="N32" s="7">
        <v>21534.9</v>
      </c>
      <c r="O32" s="7">
        <v>31.23</v>
      </c>
      <c r="P32" s="7">
        <v>15</v>
      </c>
      <c r="Q32" s="7">
        <v>753</v>
      </c>
    </row>
    <row r="33" spans="4:17" ht="28.8" x14ac:dyDescent="0.3">
      <c r="D33" s="1">
        <v>61</v>
      </c>
      <c r="E33" s="1" t="s">
        <v>242</v>
      </c>
      <c r="F33" s="1">
        <v>28.5</v>
      </c>
      <c r="G33" s="1">
        <v>113</v>
      </c>
      <c r="H33" s="1">
        <v>603</v>
      </c>
      <c r="I33" s="1">
        <v>16438.8</v>
      </c>
      <c r="M33" s="6" t="s">
        <v>269</v>
      </c>
      <c r="N33" s="7">
        <v>7232.4</v>
      </c>
      <c r="O33" s="7">
        <v>21</v>
      </c>
      <c r="P33" s="7">
        <v>104</v>
      </c>
      <c r="Q33" s="7">
        <v>348</v>
      </c>
    </row>
    <row r="34" spans="4:17" ht="28.8" x14ac:dyDescent="0.3">
      <c r="D34" s="1">
        <v>31</v>
      </c>
      <c r="E34" s="1" t="s">
        <v>243</v>
      </c>
      <c r="F34" s="1">
        <v>12.5</v>
      </c>
      <c r="G34" s="1">
        <v>0</v>
      </c>
      <c r="H34" s="1">
        <v>1397</v>
      </c>
      <c r="I34" s="1">
        <v>16172.5</v>
      </c>
      <c r="M34" s="6" t="s">
        <v>232</v>
      </c>
      <c r="N34" s="7">
        <v>22140.2</v>
      </c>
      <c r="O34" s="7">
        <v>31</v>
      </c>
      <c r="P34" s="7">
        <v>31</v>
      </c>
      <c r="Q34" s="7">
        <v>742</v>
      </c>
    </row>
    <row r="35" spans="4:17" ht="43.2" x14ac:dyDescent="0.3">
      <c r="D35" s="1">
        <v>27</v>
      </c>
      <c r="E35" s="1" t="s">
        <v>244</v>
      </c>
      <c r="F35" s="1">
        <v>43.9</v>
      </c>
      <c r="G35" s="1">
        <v>49</v>
      </c>
      <c r="H35" s="1">
        <v>365</v>
      </c>
      <c r="I35" s="1">
        <v>15231.5</v>
      </c>
      <c r="M35" s="6" t="s">
        <v>247</v>
      </c>
      <c r="N35" s="7">
        <v>14542.6</v>
      </c>
      <c r="O35" s="7">
        <v>19</v>
      </c>
      <c r="P35" s="7">
        <v>112</v>
      </c>
      <c r="Q35" s="7">
        <v>805</v>
      </c>
    </row>
    <row r="36" spans="4:17" ht="43.2" x14ac:dyDescent="0.3">
      <c r="D36" s="1">
        <v>30</v>
      </c>
      <c r="E36" s="1" t="s">
        <v>245</v>
      </c>
      <c r="F36" s="1">
        <v>25.89</v>
      </c>
      <c r="G36" s="1">
        <v>10</v>
      </c>
      <c r="H36" s="1">
        <v>612</v>
      </c>
      <c r="I36" s="1">
        <v>14775.54</v>
      </c>
      <c r="M36" s="6" t="s">
        <v>227</v>
      </c>
      <c r="N36" s="7">
        <v>25079.200000000001</v>
      </c>
      <c r="O36" s="7">
        <v>46</v>
      </c>
      <c r="P36" s="7">
        <v>17</v>
      </c>
      <c r="Q36" s="7">
        <v>580</v>
      </c>
    </row>
    <row r="37" spans="4:17" ht="57.6" x14ac:dyDescent="0.3">
      <c r="D37" s="1">
        <v>65</v>
      </c>
      <c r="E37" s="1" t="s">
        <v>246</v>
      </c>
      <c r="F37" s="1">
        <v>21.05</v>
      </c>
      <c r="G37" s="1">
        <v>76</v>
      </c>
      <c r="H37" s="1">
        <v>745</v>
      </c>
      <c r="I37" s="1">
        <v>14607</v>
      </c>
      <c r="M37" s="6" t="s">
        <v>263</v>
      </c>
      <c r="N37" s="7">
        <v>9098.1</v>
      </c>
      <c r="O37" s="7">
        <v>9.65</v>
      </c>
      <c r="P37" s="7">
        <v>85</v>
      </c>
      <c r="Q37" s="7">
        <v>981</v>
      </c>
    </row>
    <row r="38" spans="4:17" x14ac:dyDescent="0.3">
      <c r="D38" s="1">
        <v>36</v>
      </c>
      <c r="E38" s="1" t="s">
        <v>247</v>
      </c>
      <c r="F38" s="1">
        <v>19</v>
      </c>
      <c r="G38" s="1">
        <v>112</v>
      </c>
      <c r="H38" s="1">
        <v>805</v>
      </c>
      <c r="I38" s="1">
        <v>14542.6</v>
      </c>
      <c r="M38" s="6" t="s">
        <v>275</v>
      </c>
      <c r="N38" s="7">
        <v>5234.3999999999996</v>
      </c>
      <c r="O38" s="7">
        <v>6</v>
      </c>
      <c r="P38" s="7">
        <v>24</v>
      </c>
      <c r="Q38" s="7">
        <v>891</v>
      </c>
    </row>
    <row r="39" spans="4:17" ht="28.8" x14ac:dyDescent="0.3">
      <c r="D39" s="1">
        <v>35</v>
      </c>
      <c r="E39" s="1" t="s">
        <v>248</v>
      </c>
      <c r="F39" s="1">
        <v>18</v>
      </c>
      <c r="G39" s="1">
        <v>20</v>
      </c>
      <c r="H39" s="1">
        <v>883</v>
      </c>
      <c r="I39" s="1">
        <v>14536.8</v>
      </c>
      <c r="M39" s="6" t="s">
        <v>241</v>
      </c>
      <c r="N39" s="7">
        <v>16794</v>
      </c>
      <c r="O39" s="7">
        <v>18</v>
      </c>
      <c r="P39" s="7">
        <v>57</v>
      </c>
      <c r="Q39" s="7">
        <v>981</v>
      </c>
    </row>
    <row r="40" spans="4:17" x14ac:dyDescent="0.3">
      <c r="D40" s="1">
        <v>1</v>
      </c>
      <c r="E40" s="1" t="s">
        <v>249</v>
      </c>
      <c r="F40" s="1">
        <v>18</v>
      </c>
      <c r="G40" s="1">
        <v>39</v>
      </c>
      <c r="H40" s="1">
        <v>828</v>
      </c>
      <c r="I40" s="1">
        <v>14277.6</v>
      </c>
      <c r="M40" s="6" t="s">
        <v>289</v>
      </c>
      <c r="N40" s="7">
        <v>2562</v>
      </c>
      <c r="O40" s="7">
        <v>14</v>
      </c>
      <c r="P40" s="7">
        <v>52</v>
      </c>
      <c r="Q40" s="7">
        <v>184</v>
      </c>
    </row>
    <row r="41" spans="4:17" ht="28.8" x14ac:dyDescent="0.3">
      <c r="D41" s="1">
        <v>11</v>
      </c>
      <c r="E41" s="1" t="s">
        <v>250</v>
      </c>
      <c r="F41" s="1">
        <v>21</v>
      </c>
      <c r="G41" s="1">
        <v>22</v>
      </c>
      <c r="H41" s="1">
        <v>706</v>
      </c>
      <c r="I41" s="1">
        <v>13902</v>
      </c>
      <c r="M41" s="6" t="s">
        <v>288</v>
      </c>
      <c r="N41" s="7">
        <v>2566</v>
      </c>
      <c r="O41" s="7">
        <v>10</v>
      </c>
      <c r="P41" s="7">
        <v>4</v>
      </c>
      <c r="Q41" s="7">
        <v>297</v>
      </c>
    </row>
    <row r="42" spans="4:17" ht="57.6" x14ac:dyDescent="0.3">
      <c r="D42" s="1">
        <v>8</v>
      </c>
      <c r="E42" s="1" t="s">
        <v>251</v>
      </c>
      <c r="F42" s="1">
        <v>40</v>
      </c>
      <c r="G42" s="1">
        <v>6</v>
      </c>
      <c r="H42" s="1">
        <v>372</v>
      </c>
      <c r="I42" s="1">
        <v>13760</v>
      </c>
      <c r="M42" s="6" t="s">
        <v>246</v>
      </c>
      <c r="N42" s="7">
        <v>14607</v>
      </c>
      <c r="O42" s="7">
        <v>21.05</v>
      </c>
      <c r="P42" s="7">
        <v>76</v>
      </c>
      <c r="Q42" s="7">
        <v>745</v>
      </c>
    </row>
    <row r="43" spans="4:17" ht="28.8" x14ac:dyDescent="0.3">
      <c r="D43" s="1">
        <v>39</v>
      </c>
      <c r="E43" s="1" t="s">
        <v>252</v>
      </c>
      <c r="F43" s="1">
        <v>18</v>
      </c>
      <c r="G43" s="1">
        <v>69</v>
      </c>
      <c r="H43" s="1">
        <v>793</v>
      </c>
      <c r="I43" s="1">
        <v>13150.8</v>
      </c>
      <c r="M43" s="6" t="s">
        <v>283</v>
      </c>
      <c r="N43" s="7">
        <v>3519</v>
      </c>
      <c r="O43" s="7">
        <v>17</v>
      </c>
      <c r="P43" s="7">
        <v>4</v>
      </c>
      <c r="Q43" s="7">
        <v>239</v>
      </c>
    </row>
    <row r="44" spans="4:17" ht="57.6" x14ac:dyDescent="0.3">
      <c r="D44" s="1">
        <v>12</v>
      </c>
      <c r="E44" s="1" t="s">
        <v>253</v>
      </c>
      <c r="F44" s="1">
        <v>38</v>
      </c>
      <c r="G44" s="1">
        <v>86</v>
      </c>
      <c r="H44" s="1">
        <v>344</v>
      </c>
      <c r="I44" s="1">
        <v>12866.8</v>
      </c>
      <c r="M44" s="6" t="s">
        <v>222</v>
      </c>
      <c r="N44" s="7">
        <v>44742.6</v>
      </c>
      <c r="O44" s="7">
        <v>53</v>
      </c>
      <c r="P44" s="7">
        <v>20</v>
      </c>
      <c r="Q44" s="7">
        <v>886</v>
      </c>
    </row>
    <row r="45" spans="4:17" ht="28.8" x14ac:dyDescent="0.3">
      <c r="D45" s="1">
        <v>70</v>
      </c>
      <c r="E45" s="1" t="s">
        <v>254</v>
      </c>
      <c r="F45" s="1">
        <v>15</v>
      </c>
      <c r="G45" s="1">
        <v>15</v>
      </c>
      <c r="H45" s="1">
        <v>817</v>
      </c>
      <c r="I45" s="1">
        <v>11472</v>
      </c>
      <c r="M45" s="6" t="s">
        <v>262</v>
      </c>
      <c r="N45" s="7">
        <v>9171.2000000000007</v>
      </c>
      <c r="O45" s="7">
        <v>32</v>
      </c>
      <c r="P45" s="7">
        <v>9</v>
      </c>
      <c r="Q45" s="7">
        <v>297</v>
      </c>
    </row>
    <row r="46" spans="4:17" ht="28.8" x14ac:dyDescent="0.3">
      <c r="D46" s="1">
        <v>44</v>
      </c>
      <c r="E46" s="1" t="s">
        <v>255</v>
      </c>
      <c r="F46" s="1">
        <v>19.45</v>
      </c>
      <c r="G46" s="1">
        <v>27</v>
      </c>
      <c r="H46" s="1">
        <v>601</v>
      </c>
      <c r="I46" s="1">
        <v>10524.2</v>
      </c>
      <c r="M46" s="6" t="s">
        <v>258</v>
      </c>
      <c r="N46" s="7">
        <v>9500</v>
      </c>
      <c r="O46" s="7">
        <v>20</v>
      </c>
      <c r="P46" s="7">
        <v>10</v>
      </c>
      <c r="Q46" s="7">
        <v>520</v>
      </c>
    </row>
    <row r="47" spans="4:17" ht="72" x14ac:dyDescent="0.3">
      <c r="D47" s="1">
        <v>77</v>
      </c>
      <c r="E47" s="1" t="s">
        <v>256</v>
      </c>
      <c r="F47" s="1">
        <v>13</v>
      </c>
      <c r="G47" s="1">
        <v>32</v>
      </c>
      <c r="H47" s="1">
        <v>791</v>
      </c>
      <c r="I47" s="1">
        <v>9685</v>
      </c>
      <c r="M47" s="6" t="s">
        <v>264</v>
      </c>
      <c r="N47" s="7">
        <v>8827</v>
      </c>
      <c r="O47" s="7">
        <v>97</v>
      </c>
      <c r="P47" s="7">
        <v>29</v>
      </c>
      <c r="Q47" s="7">
        <v>95</v>
      </c>
    </row>
    <row r="48" spans="4:17" ht="43.2" x14ac:dyDescent="0.3">
      <c r="D48" s="1">
        <v>21</v>
      </c>
      <c r="E48" s="1" t="s">
        <v>257</v>
      </c>
      <c r="F48" s="1">
        <v>10</v>
      </c>
      <c r="G48" s="1">
        <v>3</v>
      </c>
      <c r="H48" s="1">
        <v>1016</v>
      </c>
      <c r="I48" s="1">
        <v>9636</v>
      </c>
      <c r="M48" s="6" t="s">
        <v>226</v>
      </c>
      <c r="N48" s="7">
        <v>25738.799999999999</v>
      </c>
      <c r="O48" s="7">
        <v>34.799999999999997</v>
      </c>
      <c r="P48" s="7">
        <v>14</v>
      </c>
      <c r="Q48" s="7">
        <v>806</v>
      </c>
    </row>
    <row r="49" spans="4:17" x14ac:dyDescent="0.3">
      <c r="D49" s="1">
        <v>49</v>
      </c>
      <c r="E49" s="1" t="s">
        <v>258</v>
      </c>
      <c r="F49" s="1">
        <v>20</v>
      </c>
      <c r="G49" s="1">
        <v>10</v>
      </c>
      <c r="H49" s="1">
        <v>520</v>
      </c>
      <c r="I49" s="1">
        <v>9500</v>
      </c>
      <c r="M49" s="6" t="s">
        <v>245</v>
      </c>
      <c r="N49" s="7">
        <v>14775.54</v>
      </c>
      <c r="O49" s="7">
        <v>25.89</v>
      </c>
      <c r="P49" s="7">
        <v>10</v>
      </c>
      <c r="Q49" s="7">
        <v>612</v>
      </c>
    </row>
    <row r="50" spans="4:17" ht="72" x14ac:dyDescent="0.3">
      <c r="D50" s="1">
        <v>4</v>
      </c>
      <c r="E50" s="1" t="s">
        <v>259</v>
      </c>
      <c r="F50" s="1">
        <v>22</v>
      </c>
      <c r="G50" s="1">
        <v>53</v>
      </c>
      <c r="H50" s="1">
        <v>453</v>
      </c>
      <c r="I50" s="1">
        <v>9424.7999999999993</v>
      </c>
      <c r="M50" s="6" t="s">
        <v>251</v>
      </c>
      <c r="N50" s="7">
        <v>13760</v>
      </c>
      <c r="O50" s="7">
        <v>40</v>
      </c>
      <c r="P50" s="7">
        <v>6</v>
      </c>
      <c r="Q50" s="7">
        <v>372</v>
      </c>
    </row>
    <row r="51" spans="4:17" ht="43.2" x14ac:dyDescent="0.3">
      <c r="D51" s="1">
        <v>68</v>
      </c>
      <c r="E51" s="1" t="s">
        <v>260</v>
      </c>
      <c r="F51" s="1">
        <v>12.5</v>
      </c>
      <c r="G51" s="1">
        <v>6</v>
      </c>
      <c r="H51" s="1">
        <v>799</v>
      </c>
      <c r="I51" s="1">
        <v>9362.5</v>
      </c>
      <c r="M51" s="6" t="s">
        <v>282</v>
      </c>
      <c r="N51" s="7">
        <v>4051.6</v>
      </c>
      <c r="O51" s="7">
        <v>14</v>
      </c>
      <c r="P51" s="7">
        <v>76</v>
      </c>
      <c r="Q51" s="7">
        <v>318</v>
      </c>
    </row>
    <row r="52" spans="4:17" ht="57.6" x14ac:dyDescent="0.3">
      <c r="D52" s="1">
        <v>42</v>
      </c>
      <c r="E52" s="1" t="s">
        <v>261</v>
      </c>
      <c r="F52" s="1">
        <v>14</v>
      </c>
      <c r="G52" s="1">
        <v>26</v>
      </c>
      <c r="H52" s="1">
        <v>697</v>
      </c>
      <c r="I52" s="1">
        <v>9332.4</v>
      </c>
      <c r="M52" s="6" t="s">
        <v>256</v>
      </c>
      <c r="N52" s="7">
        <v>9685</v>
      </c>
      <c r="O52" s="7">
        <v>13</v>
      </c>
      <c r="P52" s="7">
        <v>32</v>
      </c>
      <c r="Q52" s="7">
        <v>791</v>
      </c>
    </row>
    <row r="53" spans="4:17" ht="43.2" x14ac:dyDescent="0.3">
      <c r="D53" s="1">
        <v>32</v>
      </c>
      <c r="E53" s="1" t="s">
        <v>262</v>
      </c>
      <c r="F53" s="1">
        <v>32</v>
      </c>
      <c r="G53" s="1">
        <v>9</v>
      </c>
      <c r="H53" s="1">
        <v>297</v>
      </c>
      <c r="I53" s="1">
        <v>9171.2000000000007</v>
      </c>
      <c r="M53" s="6" t="s">
        <v>254</v>
      </c>
      <c r="N53" s="7">
        <v>11472</v>
      </c>
      <c r="O53" s="7">
        <v>15</v>
      </c>
      <c r="P53" s="7">
        <v>15</v>
      </c>
      <c r="Q53" s="7">
        <v>817</v>
      </c>
    </row>
    <row r="54" spans="4:17" ht="72" x14ac:dyDescent="0.3">
      <c r="D54" s="1">
        <v>41</v>
      </c>
      <c r="E54" s="1" t="s">
        <v>263</v>
      </c>
      <c r="F54" s="1">
        <v>9.65</v>
      </c>
      <c r="G54" s="1">
        <v>85</v>
      </c>
      <c r="H54" s="1">
        <v>981</v>
      </c>
      <c r="I54" s="1">
        <v>9098.1</v>
      </c>
      <c r="M54" s="6" t="s">
        <v>236</v>
      </c>
      <c r="N54" s="7">
        <v>19512</v>
      </c>
      <c r="O54" s="7">
        <v>24</v>
      </c>
      <c r="P54" s="7">
        <v>115</v>
      </c>
      <c r="Q54" s="7">
        <v>903</v>
      </c>
    </row>
    <row r="55" spans="4:17" ht="43.2" x14ac:dyDescent="0.3">
      <c r="D55" s="1">
        <v>9</v>
      </c>
      <c r="E55" s="1" t="s">
        <v>264</v>
      </c>
      <c r="F55" s="1">
        <v>97</v>
      </c>
      <c r="G55" s="1">
        <v>29</v>
      </c>
      <c r="H55" s="1">
        <v>95</v>
      </c>
      <c r="I55" s="1">
        <v>8827</v>
      </c>
      <c r="M55" s="6" t="s">
        <v>238</v>
      </c>
      <c r="N55" s="7">
        <v>18748.05</v>
      </c>
      <c r="O55" s="7">
        <v>17.45</v>
      </c>
      <c r="P55" s="7">
        <v>29</v>
      </c>
      <c r="Q55" s="7">
        <v>1158</v>
      </c>
    </row>
    <row r="56" spans="4:17" ht="57.6" x14ac:dyDescent="0.3">
      <c r="D56" s="1">
        <v>75</v>
      </c>
      <c r="E56" s="1" t="s">
        <v>265</v>
      </c>
      <c r="F56" s="1">
        <v>7.75</v>
      </c>
      <c r="G56" s="1">
        <v>125</v>
      </c>
      <c r="H56" s="1">
        <v>1155</v>
      </c>
      <c r="I56" s="1">
        <v>8650.5499999999993</v>
      </c>
      <c r="M56" s="6" t="s">
        <v>234</v>
      </c>
      <c r="N56" s="7">
        <v>21510.2</v>
      </c>
      <c r="O56" s="7">
        <v>32.799999999999997</v>
      </c>
      <c r="P56" s="7">
        <v>0</v>
      </c>
      <c r="Q56" s="7">
        <v>722</v>
      </c>
    </row>
    <row r="57" spans="4:17" x14ac:dyDescent="0.3">
      <c r="D57" s="1">
        <v>14</v>
      </c>
      <c r="E57" s="1" t="s">
        <v>266</v>
      </c>
      <c r="F57" s="1">
        <v>23.25</v>
      </c>
      <c r="G57" s="1">
        <v>35</v>
      </c>
      <c r="H57" s="1">
        <v>404</v>
      </c>
      <c r="I57" s="1">
        <v>8630.4</v>
      </c>
      <c r="M57" s="6" t="s">
        <v>250</v>
      </c>
      <c r="N57" s="7">
        <v>13902</v>
      </c>
      <c r="O57" s="7">
        <v>21</v>
      </c>
      <c r="P57" s="7">
        <v>22</v>
      </c>
      <c r="Q57" s="7">
        <v>706</v>
      </c>
    </row>
    <row r="58" spans="4:17" ht="28.8" x14ac:dyDescent="0.3">
      <c r="D58" s="1">
        <v>57</v>
      </c>
      <c r="E58" s="1" t="s">
        <v>267</v>
      </c>
      <c r="F58" s="1">
        <v>19.5</v>
      </c>
      <c r="G58" s="1">
        <v>36</v>
      </c>
      <c r="H58" s="1">
        <v>434</v>
      </c>
      <c r="I58" s="1">
        <v>7807.8</v>
      </c>
      <c r="M58" s="6" t="s">
        <v>253</v>
      </c>
      <c r="N58" s="7">
        <v>12866.8</v>
      </c>
      <c r="O58" s="7">
        <v>38</v>
      </c>
      <c r="P58" s="7">
        <v>86</v>
      </c>
      <c r="Q58" s="7">
        <v>344</v>
      </c>
    </row>
    <row r="59" spans="4:17" ht="72" x14ac:dyDescent="0.3">
      <c r="D59" s="1">
        <v>6</v>
      </c>
      <c r="E59" s="1" t="s">
        <v>268</v>
      </c>
      <c r="F59" s="1">
        <v>25</v>
      </c>
      <c r="G59" s="1">
        <v>120</v>
      </c>
      <c r="H59" s="1">
        <v>301</v>
      </c>
      <c r="I59" s="1">
        <v>7345</v>
      </c>
      <c r="M59" s="6" t="s">
        <v>279</v>
      </c>
      <c r="N59" s="7">
        <v>4740.5</v>
      </c>
      <c r="O59" s="7">
        <v>9.5</v>
      </c>
      <c r="P59" s="7">
        <v>5</v>
      </c>
      <c r="Q59" s="7">
        <v>508</v>
      </c>
    </row>
    <row r="60" spans="4:17" ht="43.2" x14ac:dyDescent="0.3">
      <c r="D60" s="1">
        <v>22</v>
      </c>
      <c r="E60" s="1" t="s">
        <v>269</v>
      </c>
      <c r="F60" s="1">
        <v>21</v>
      </c>
      <c r="G60" s="1">
        <v>104</v>
      </c>
      <c r="H60" s="1">
        <v>348</v>
      </c>
      <c r="I60" s="1">
        <v>7232.4</v>
      </c>
      <c r="M60" s="6" t="s">
        <v>281</v>
      </c>
      <c r="N60" s="7">
        <v>4200</v>
      </c>
      <c r="O60" s="7">
        <v>15</v>
      </c>
      <c r="P60" s="7">
        <v>101</v>
      </c>
      <c r="Q60" s="7">
        <v>293</v>
      </c>
    </row>
    <row r="61" spans="4:17" ht="28.8" x14ac:dyDescent="0.3">
      <c r="D61" s="1">
        <v>34</v>
      </c>
      <c r="E61" s="1" t="s">
        <v>270</v>
      </c>
      <c r="F61" s="1">
        <v>14</v>
      </c>
      <c r="G61" s="1">
        <v>111</v>
      </c>
      <c r="H61" s="1">
        <v>506</v>
      </c>
      <c r="I61" s="1">
        <v>6678</v>
      </c>
      <c r="M61" s="6" t="s">
        <v>225</v>
      </c>
      <c r="N61" s="7">
        <v>26865.599999999999</v>
      </c>
      <c r="O61" s="7">
        <v>45.6</v>
      </c>
      <c r="P61" s="7">
        <v>26</v>
      </c>
      <c r="Q61" s="7">
        <v>640</v>
      </c>
    </row>
    <row r="62" spans="4:17" ht="57.6" x14ac:dyDescent="0.3">
      <c r="D62" s="1">
        <v>58</v>
      </c>
      <c r="E62" s="1" t="s">
        <v>271</v>
      </c>
      <c r="F62" s="1">
        <v>13.25</v>
      </c>
      <c r="G62" s="1">
        <v>62</v>
      </c>
      <c r="H62" s="1">
        <v>534</v>
      </c>
      <c r="I62" s="1">
        <v>6664.75</v>
      </c>
      <c r="M62" s="6" t="s">
        <v>218</v>
      </c>
      <c r="N62" s="7">
        <v>76296</v>
      </c>
      <c r="O62" s="7">
        <v>55</v>
      </c>
      <c r="P62" s="7">
        <v>79</v>
      </c>
      <c r="Q62" s="7">
        <v>1496</v>
      </c>
    </row>
    <row r="63" spans="4:17" ht="43.2" x14ac:dyDescent="0.3">
      <c r="D63" s="1">
        <v>19</v>
      </c>
      <c r="E63" s="1" t="s">
        <v>272</v>
      </c>
      <c r="F63" s="1">
        <v>9.1999999999999993</v>
      </c>
      <c r="G63" s="1">
        <v>25</v>
      </c>
      <c r="H63" s="1">
        <v>723</v>
      </c>
      <c r="I63" s="1">
        <v>6159.5</v>
      </c>
      <c r="M63" s="6" t="s">
        <v>267</v>
      </c>
      <c r="N63" s="7">
        <v>7807.8</v>
      </c>
      <c r="O63" s="7">
        <v>19.5</v>
      </c>
      <c r="P63" s="7">
        <v>36</v>
      </c>
      <c r="Q63" s="7">
        <v>434</v>
      </c>
    </row>
    <row r="64" spans="4:17" x14ac:dyDescent="0.3">
      <c r="D64" s="1">
        <v>46</v>
      </c>
      <c r="E64" s="1" t="s">
        <v>273</v>
      </c>
      <c r="F64" s="1">
        <v>12</v>
      </c>
      <c r="G64" s="1">
        <v>95</v>
      </c>
      <c r="H64" s="1">
        <v>548</v>
      </c>
      <c r="I64" s="1">
        <v>6144</v>
      </c>
      <c r="M64" s="6" t="s">
        <v>265</v>
      </c>
      <c r="N64" s="7">
        <v>8650.5499999999993</v>
      </c>
      <c r="O64" s="7">
        <v>7.75</v>
      </c>
      <c r="P64" s="7">
        <v>125</v>
      </c>
      <c r="Q64" s="7">
        <v>1155</v>
      </c>
    </row>
    <row r="65" spans="4:17" ht="57.6" x14ac:dyDescent="0.3">
      <c r="D65" s="1">
        <v>5</v>
      </c>
      <c r="E65" s="1" t="s">
        <v>274</v>
      </c>
      <c r="F65" s="1">
        <v>21.35</v>
      </c>
      <c r="G65" s="1">
        <v>0</v>
      </c>
      <c r="H65" s="1">
        <v>298</v>
      </c>
      <c r="I65" s="1">
        <v>5801.15</v>
      </c>
      <c r="M65" s="6" t="s">
        <v>270</v>
      </c>
      <c r="N65" s="7">
        <v>6678</v>
      </c>
      <c r="O65" s="7">
        <v>14</v>
      </c>
      <c r="P65" s="7">
        <v>111</v>
      </c>
      <c r="Q65" s="7">
        <v>506</v>
      </c>
    </row>
    <row r="66" spans="4:17" x14ac:dyDescent="0.3">
      <c r="D66" s="1">
        <v>13</v>
      </c>
      <c r="E66" s="1" t="s">
        <v>275</v>
      </c>
      <c r="F66" s="1">
        <v>6</v>
      </c>
      <c r="G66" s="1">
        <v>24</v>
      </c>
      <c r="H66" s="1">
        <v>891</v>
      </c>
      <c r="I66" s="1">
        <v>5234.3999999999996</v>
      </c>
      <c r="M66" s="6" t="s">
        <v>244</v>
      </c>
      <c r="N66" s="7">
        <v>15231.5</v>
      </c>
      <c r="O66" s="7">
        <v>43.9</v>
      </c>
      <c r="P66" s="7">
        <v>49</v>
      </c>
      <c r="Q66" s="7">
        <v>365</v>
      </c>
    </row>
    <row r="67" spans="4:17" ht="28.8" x14ac:dyDescent="0.3">
      <c r="D67" s="1">
        <v>54</v>
      </c>
      <c r="E67" s="1" t="s">
        <v>276</v>
      </c>
      <c r="F67" s="1">
        <v>7.45</v>
      </c>
      <c r="G67" s="1">
        <v>21</v>
      </c>
      <c r="H67" s="1">
        <v>755</v>
      </c>
      <c r="I67" s="1">
        <v>5121</v>
      </c>
      <c r="M67" s="6" t="s">
        <v>260</v>
      </c>
      <c r="N67" s="7">
        <v>9362.5</v>
      </c>
      <c r="O67" s="7">
        <v>12.5</v>
      </c>
      <c r="P67" s="7">
        <v>6</v>
      </c>
      <c r="Q67" s="7">
        <v>799</v>
      </c>
    </row>
    <row r="68" spans="4:17" ht="28.8" x14ac:dyDescent="0.3">
      <c r="D68" s="1">
        <v>23</v>
      </c>
      <c r="E68" s="1" t="s">
        <v>277</v>
      </c>
      <c r="F68" s="1">
        <v>9</v>
      </c>
      <c r="G68" s="1">
        <v>61</v>
      </c>
      <c r="H68" s="1">
        <v>580</v>
      </c>
      <c r="I68" s="1">
        <v>4840.2</v>
      </c>
      <c r="M68" s="6" t="s">
        <v>261</v>
      </c>
      <c r="N68" s="7">
        <v>9332.4</v>
      </c>
      <c r="O68" s="7">
        <v>14</v>
      </c>
      <c r="P68" s="7">
        <v>26</v>
      </c>
      <c r="Q68" s="7">
        <v>697</v>
      </c>
    </row>
    <row r="69" spans="4:17" ht="43.2" x14ac:dyDescent="0.3">
      <c r="D69" s="1">
        <v>24</v>
      </c>
      <c r="E69" s="1" t="s">
        <v>278</v>
      </c>
      <c r="F69" s="1">
        <v>4.5</v>
      </c>
      <c r="G69" s="1">
        <v>20</v>
      </c>
      <c r="H69" s="1">
        <v>1125</v>
      </c>
      <c r="I69" s="1">
        <v>4782.6000000000004</v>
      </c>
      <c r="M69" s="6" t="s">
        <v>229</v>
      </c>
      <c r="N69" s="7">
        <v>23635.8</v>
      </c>
      <c r="O69" s="7">
        <v>81</v>
      </c>
      <c r="P69" s="7">
        <v>40</v>
      </c>
      <c r="Q69" s="7">
        <v>313</v>
      </c>
    </row>
    <row r="70" spans="4:17" ht="28.8" x14ac:dyDescent="0.3">
      <c r="D70" s="1">
        <v>45</v>
      </c>
      <c r="E70" s="1" t="s">
        <v>279</v>
      </c>
      <c r="F70" s="1">
        <v>9.5</v>
      </c>
      <c r="G70" s="1">
        <v>5</v>
      </c>
      <c r="H70" s="1">
        <v>508</v>
      </c>
      <c r="I70" s="1">
        <v>4740.5</v>
      </c>
      <c r="M70" s="6" t="s">
        <v>257</v>
      </c>
      <c r="N70" s="7">
        <v>9636</v>
      </c>
      <c r="O70" s="7">
        <v>10</v>
      </c>
      <c r="P70" s="7">
        <v>3</v>
      </c>
      <c r="Q70" s="7">
        <v>1016</v>
      </c>
    </row>
    <row r="71" spans="4:17" ht="28.8" x14ac:dyDescent="0.3">
      <c r="D71" s="1">
        <v>47</v>
      </c>
      <c r="E71" s="1" t="s">
        <v>280</v>
      </c>
      <c r="F71" s="1">
        <v>9.5</v>
      </c>
      <c r="G71" s="1">
        <v>36</v>
      </c>
      <c r="H71" s="1">
        <v>485</v>
      </c>
      <c r="I71" s="1">
        <v>4358.6000000000004</v>
      </c>
      <c r="M71" s="6" t="s">
        <v>242</v>
      </c>
      <c r="N71" s="7">
        <v>16438.8</v>
      </c>
      <c r="O71" s="7">
        <v>28.5</v>
      </c>
      <c r="P71" s="7">
        <v>113</v>
      </c>
      <c r="Q71" s="7">
        <v>603</v>
      </c>
    </row>
    <row r="72" spans="4:17" ht="28.8" x14ac:dyDescent="0.3">
      <c r="D72" s="1">
        <v>73</v>
      </c>
      <c r="E72" s="1" t="s">
        <v>281</v>
      </c>
      <c r="F72" s="1">
        <v>15</v>
      </c>
      <c r="G72" s="1">
        <v>101</v>
      </c>
      <c r="H72" s="1">
        <v>293</v>
      </c>
      <c r="I72" s="1">
        <v>4200</v>
      </c>
      <c r="M72" s="6" t="s">
        <v>273</v>
      </c>
      <c r="N72" s="7">
        <v>6144</v>
      </c>
      <c r="O72" s="7">
        <v>12</v>
      </c>
      <c r="P72" s="7">
        <v>95</v>
      </c>
      <c r="Q72" s="7">
        <v>548</v>
      </c>
    </row>
    <row r="73" spans="4:17" ht="57.6" x14ac:dyDescent="0.3">
      <c r="D73" s="1">
        <v>25</v>
      </c>
      <c r="E73" s="1" t="s">
        <v>282</v>
      </c>
      <c r="F73" s="1">
        <v>14</v>
      </c>
      <c r="G73" s="1">
        <v>76</v>
      </c>
      <c r="H73" s="1">
        <v>318</v>
      </c>
      <c r="I73" s="1">
        <v>4051.6</v>
      </c>
      <c r="M73" s="6" t="s">
        <v>248</v>
      </c>
      <c r="N73" s="7">
        <v>14536.8</v>
      </c>
      <c r="O73" s="7">
        <v>18</v>
      </c>
      <c r="P73" s="7">
        <v>20</v>
      </c>
      <c r="Q73" s="7">
        <v>883</v>
      </c>
    </row>
    <row r="74" spans="4:17" ht="57.6" x14ac:dyDescent="0.3">
      <c r="D74" s="1">
        <v>66</v>
      </c>
      <c r="E74" s="1" t="s">
        <v>283</v>
      </c>
      <c r="F74" s="1">
        <v>17</v>
      </c>
      <c r="G74" s="1">
        <v>4</v>
      </c>
      <c r="H74" s="1">
        <v>239</v>
      </c>
      <c r="I74" s="1">
        <v>3519</v>
      </c>
      <c r="M74" s="6" t="s">
        <v>220</v>
      </c>
      <c r="N74" s="7">
        <v>49827.9</v>
      </c>
      <c r="O74" s="7">
        <v>49.3</v>
      </c>
      <c r="P74" s="7">
        <v>17</v>
      </c>
      <c r="Q74" s="7">
        <v>1083</v>
      </c>
    </row>
    <row r="75" spans="4:17" ht="28.8" x14ac:dyDescent="0.3">
      <c r="D75" s="1">
        <v>50</v>
      </c>
      <c r="E75" s="1" t="s">
        <v>284</v>
      </c>
      <c r="F75" s="1">
        <v>16.25</v>
      </c>
      <c r="G75" s="1">
        <v>65</v>
      </c>
      <c r="H75" s="1">
        <v>235</v>
      </c>
      <c r="I75" s="1">
        <v>3510</v>
      </c>
      <c r="M75" s="6" t="s">
        <v>272</v>
      </c>
      <c r="N75" s="7">
        <v>6159.5</v>
      </c>
      <c r="O75" s="7">
        <v>9.1999999999999993</v>
      </c>
      <c r="P75" s="7">
        <v>25</v>
      </c>
      <c r="Q75" s="7">
        <v>723</v>
      </c>
    </row>
    <row r="76" spans="4:17" x14ac:dyDescent="0.3">
      <c r="D76" s="1">
        <v>52</v>
      </c>
      <c r="E76" s="1" t="s">
        <v>285</v>
      </c>
      <c r="F76" s="1">
        <v>7</v>
      </c>
      <c r="G76" s="1">
        <v>38</v>
      </c>
      <c r="H76" s="1">
        <v>500</v>
      </c>
      <c r="I76" s="1">
        <v>3383.8</v>
      </c>
      <c r="M76" s="6" t="s">
        <v>217</v>
      </c>
      <c r="N76" s="7">
        <v>87736.4</v>
      </c>
      <c r="O76" s="7">
        <v>123.79</v>
      </c>
      <c r="P76" s="7">
        <v>0</v>
      </c>
      <c r="Q76" s="7">
        <v>746</v>
      </c>
    </row>
    <row r="77" spans="4:17" ht="28.8" x14ac:dyDescent="0.3">
      <c r="D77" s="1">
        <v>3</v>
      </c>
      <c r="E77" s="1" t="s">
        <v>286</v>
      </c>
      <c r="F77" s="1">
        <v>10</v>
      </c>
      <c r="G77" s="1">
        <v>13</v>
      </c>
      <c r="H77" s="1">
        <v>328</v>
      </c>
      <c r="I77" s="1">
        <v>3080</v>
      </c>
      <c r="M77" s="6" t="s">
        <v>266</v>
      </c>
      <c r="N77" s="7">
        <v>8630.4</v>
      </c>
      <c r="O77" s="7">
        <v>23.25</v>
      </c>
      <c r="P77" s="7">
        <v>35</v>
      </c>
      <c r="Q77" s="7">
        <v>404</v>
      </c>
    </row>
    <row r="78" spans="4:17" ht="28.8" x14ac:dyDescent="0.3">
      <c r="D78" s="1">
        <v>37</v>
      </c>
      <c r="E78" s="1" t="s">
        <v>287</v>
      </c>
      <c r="F78" s="1">
        <v>26</v>
      </c>
      <c r="G78" s="1">
        <v>11</v>
      </c>
      <c r="H78" s="1">
        <v>125</v>
      </c>
      <c r="I78" s="1">
        <v>3047.2</v>
      </c>
      <c r="M78" s="6" t="s">
        <v>276</v>
      </c>
      <c r="N78" s="7">
        <v>5121</v>
      </c>
      <c r="O78" s="7">
        <v>7.45</v>
      </c>
      <c r="P78" s="7">
        <v>21</v>
      </c>
      <c r="Q78" s="7">
        <v>755</v>
      </c>
    </row>
    <row r="79" spans="4:17" ht="28.8" x14ac:dyDescent="0.3">
      <c r="D79" s="1">
        <v>74</v>
      </c>
      <c r="E79" s="1" t="s">
        <v>288</v>
      </c>
      <c r="F79" s="1">
        <v>10</v>
      </c>
      <c r="G79" s="1">
        <v>4</v>
      </c>
      <c r="H79" s="1">
        <v>297</v>
      </c>
      <c r="I79" s="1">
        <v>2566</v>
      </c>
      <c r="M79" s="6" t="s">
        <v>277</v>
      </c>
      <c r="N79" s="7">
        <v>4840.2</v>
      </c>
      <c r="O79" s="7">
        <v>9</v>
      </c>
      <c r="P79" s="7">
        <v>61</v>
      </c>
      <c r="Q79" s="7">
        <v>580</v>
      </c>
    </row>
    <row r="80" spans="4:17" ht="43.2" x14ac:dyDescent="0.3">
      <c r="D80" s="1">
        <v>67</v>
      </c>
      <c r="E80" s="1" t="s">
        <v>289</v>
      </c>
      <c r="F80" s="1">
        <v>14</v>
      </c>
      <c r="G80" s="1">
        <v>52</v>
      </c>
      <c r="H80" s="1">
        <v>184</v>
      </c>
      <c r="I80" s="1">
        <v>2562</v>
      </c>
      <c r="M80" s="6" t="s">
        <v>231</v>
      </c>
      <c r="N80" s="7">
        <v>22464</v>
      </c>
      <c r="O80" s="7">
        <v>30</v>
      </c>
      <c r="P80" s="7">
        <v>15</v>
      </c>
      <c r="Q80" s="7">
        <v>763</v>
      </c>
    </row>
    <row r="81" spans="4:17" ht="28.8" x14ac:dyDescent="0.3">
      <c r="D81" s="1">
        <v>15</v>
      </c>
      <c r="E81" s="1" t="s">
        <v>290</v>
      </c>
      <c r="F81" s="1">
        <v>15.5</v>
      </c>
      <c r="G81" s="1">
        <v>39</v>
      </c>
      <c r="H81" s="1">
        <v>122</v>
      </c>
      <c r="I81" s="1">
        <v>1813.5</v>
      </c>
      <c r="M81" s="6" t="s">
        <v>284</v>
      </c>
      <c r="N81" s="7">
        <v>3510</v>
      </c>
      <c r="O81" s="7">
        <v>16.25</v>
      </c>
      <c r="P81" s="7">
        <v>65</v>
      </c>
      <c r="Q81" s="7">
        <v>235</v>
      </c>
    </row>
    <row r="82" spans="4:17" x14ac:dyDescent="0.3">
      <c r="D82" s="1">
        <v>33</v>
      </c>
      <c r="E82" s="1" t="s">
        <v>291</v>
      </c>
      <c r="F82" s="1">
        <v>2.5</v>
      </c>
      <c r="G82" s="1">
        <v>112</v>
      </c>
      <c r="H82" s="1">
        <v>755</v>
      </c>
      <c r="I82" s="1">
        <v>1713.5</v>
      </c>
      <c r="M82" s="6" t="s">
        <v>240</v>
      </c>
      <c r="N82" s="7">
        <v>17696.3</v>
      </c>
      <c r="O82" s="7">
        <v>43.9</v>
      </c>
      <c r="P82" s="7">
        <v>24</v>
      </c>
      <c r="Q82" s="7">
        <v>445</v>
      </c>
    </row>
    <row r="83" spans="4:17" ht="28.8" x14ac:dyDescent="0.3">
      <c r="D83" s="1">
        <v>48</v>
      </c>
      <c r="E83" s="1" t="s">
        <v>292</v>
      </c>
      <c r="F83" s="1">
        <v>12.75</v>
      </c>
      <c r="G83" s="1">
        <v>15</v>
      </c>
      <c r="H83" s="1">
        <v>138</v>
      </c>
      <c r="I83" s="1">
        <v>1542.75</v>
      </c>
      <c r="M83" s="6" t="s">
        <v>230</v>
      </c>
      <c r="N83" s="7">
        <v>23009</v>
      </c>
      <c r="O83" s="7">
        <v>33.25</v>
      </c>
      <c r="P83" s="7">
        <v>22</v>
      </c>
      <c r="Q83" s="7">
        <v>740</v>
      </c>
    </row>
    <row r="84" spans="4:17" x14ac:dyDescent="0.3">
      <c r="M84" s="6" t="s">
        <v>280</v>
      </c>
      <c r="N84" s="7">
        <v>4358.6000000000004</v>
      </c>
      <c r="O84" s="7">
        <v>9.5</v>
      </c>
      <c r="P84" s="7">
        <v>36</v>
      </c>
      <c r="Q84" s="7">
        <v>485</v>
      </c>
    </row>
    <row r="85" spans="4:17" x14ac:dyDescent="0.3">
      <c r="M85" s="6" t="s">
        <v>13</v>
      </c>
      <c r="N85" s="7">
        <v>1354458.5899999999</v>
      </c>
      <c r="O85" s="7">
        <v>2222.71</v>
      </c>
      <c r="P85" s="7">
        <v>3119</v>
      </c>
      <c r="Q85" s="7">
        <v>51317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50FA-BD0C-485B-B4A3-7732169B504D}">
  <dimension ref="D4:Z1005"/>
  <sheetViews>
    <sheetView topLeftCell="I5" workbookViewId="0">
      <selection activeCell="AE8" sqref="AE8"/>
    </sheetView>
  </sheetViews>
  <sheetFormatPr defaultRowHeight="14.4" x14ac:dyDescent="0.3"/>
  <cols>
    <col min="4" max="4" width="4.5546875" bestFit="1" customWidth="1"/>
    <col min="5" max="5" width="6.88671875" bestFit="1" customWidth="1"/>
    <col min="6" max="6" width="12.44140625" bestFit="1" customWidth="1"/>
    <col min="7" max="7" width="12.77734375" bestFit="1" customWidth="1"/>
    <col min="13" max="13" width="34.21875" bestFit="1" customWidth="1"/>
    <col min="14" max="14" width="16.33203125" bestFit="1" customWidth="1"/>
    <col min="15" max="25" width="5" bestFit="1" customWidth="1"/>
    <col min="26" max="26" width="11" bestFit="1" customWidth="1"/>
    <col min="27" max="27" width="7.6640625" bestFit="1" customWidth="1"/>
    <col min="28" max="28" width="12.88671875" bestFit="1" customWidth="1"/>
    <col min="29" max="29" width="7.44140625" bestFit="1" customWidth="1"/>
    <col min="30" max="30" width="13.88671875" bestFit="1" customWidth="1"/>
    <col min="31" max="31" width="21.21875" bestFit="1" customWidth="1"/>
    <col min="32" max="32" width="16.88671875" bestFit="1" customWidth="1"/>
    <col min="33" max="33" width="28.88671875" bestFit="1" customWidth="1"/>
    <col min="34" max="34" width="10" bestFit="1" customWidth="1"/>
    <col min="35" max="35" width="19.44140625" bestFit="1" customWidth="1"/>
    <col min="36" max="36" width="17.21875" bestFit="1" customWidth="1"/>
    <col min="37" max="37" width="12.33203125" bestFit="1" customWidth="1"/>
    <col min="38" max="38" width="24.44140625" bestFit="1" customWidth="1"/>
    <col min="39" max="39" width="21.5546875" bestFit="1" customWidth="1"/>
    <col min="40" max="40" width="5.21875" bestFit="1" customWidth="1"/>
    <col min="41" max="41" width="9.44140625" bestFit="1" customWidth="1"/>
    <col min="42" max="42" width="11.33203125" bestFit="1" customWidth="1"/>
    <col min="43" max="43" width="31.6640625" bestFit="1" customWidth="1"/>
    <col min="44" max="44" width="6.5546875" bestFit="1" customWidth="1"/>
    <col min="45" max="45" width="13.77734375" bestFit="1" customWidth="1"/>
    <col min="46" max="46" width="25" bestFit="1" customWidth="1"/>
    <col min="47" max="47" width="12.33203125" bestFit="1" customWidth="1"/>
    <col min="48" max="48" width="30.6640625" bestFit="1" customWidth="1"/>
    <col min="49" max="49" width="24.109375" bestFit="1" customWidth="1"/>
    <col min="50" max="50" width="21.6640625" bestFit="1" customWidth="1"/>
    <col min="51" max="51" width="18" bestFit="1" customWidth="1"/>
    <col min="52" max="52" width="8.5546875" bestFit="1" customWidth="1"/>
    <col min="53" max="53" width="15.109375" bestFit="1" customWidth="1"/>
    <col min="54" max="54" width="20.77734375" bestFit="1" customWidth="1"/>
    <col min="55" max="55" width="21.21875" bestFit="1" customWidth="1"/>
    <col min="56" max="56" width="27.109375" bestFit="1" customWidth="1"/>
    <col min="57" max="57" width="27.6640625" bestFit="1" customWidth="1"/>
    <col min="58" max="58" width="31.5546875" bestFit="1" customWidth="1"/>
    <col min="59" max="59" width="13.44140625" bestFit="1" customWidth="1"/>
    <col min="60" max="60" width="14.33203125" bestFit="1" customWidth="1"/>
    <col min="61" max="61" width="7.6640625" bestFit="1" customWidth="1"/>
    <col min="62" max="62" width="12.44140625" bestFit="1" customWidth="1"/>
    <col min="63" max="63" width="15" bestFit="1" customWidth="1"/>
    <col min="64" max="64" width="25.77734375" bestFit="1" customWidth="1"/>
    <col min="65" max="65" width="12.21875" bestFit="1" customWidth="1"/>
    <col min="66" max="66" width="11.21875" bestFit="1" customWidth="1"/>
    <col min="67" max="67" width="18.21875" bestFit="1" customWidth="1"/>
    <col min="68" max="68" width="19.6640625" bestFit="1" customWidth="1"/>
    <col min="69" max="69" width="13.44140625" bestFit="1" customWidth="1"/>
    <col min="70" max="70" width="22.21875" bestFit="1" customWidth="1"/>
    <col min="71" max="71" width="13.33203125" bestFit="1" customWidth="1"/>
    <col min="72" max="72" width="18.5546875" bestFit="1" customWidth="1"/>
    <col min="73" max="73" width="19" bestFit="1" customWidth="1"/>
    <col min="74" max="74" width="29.109375" bestFit="1" customWidth="1"/>
    <col min="75" max="75" width="22.21875" bestFit="1" customWidth="1"/>
    <col min="76" max="76" width="18.88671875" bestFit="1" customWidth="1"/>
    <col min="77" max="77" width="14.5546875" bestFit="1" customWidth="1"/>
    <col min="78" max="78" width="9.5546875" bestFit="1" customWidth="1"/>
    <col min="79" max="79" width="14" bestFit="1" customWidth="1"/>
    <col min="80" max="80" width="13.33203125" bestFit="1" customWidth="1"/>
    <col min="81" max="81" width="25.44140625" bestFit="1" customWidth="1"/>
    <col min="82" max="82" width="24" bestFit="1" customWidth="1"/>
    <col min="83" max="83" width="4.88671875" bestFit="1" customWidth="1"/>
    <col min="84" max="84" width="10" bestFit="1" customWidth="1"/>
    <col min="85" max="85" width="10.44140625" bestFit="1" customWidth="1"/>
    <col min="86" max="86" width="29.44140625" bestFit="1" customWidth="1"/>
    <col min="87" max="87" width="15.6640625" bestFit="1" customWidth="1"/>
    <col min="88" max="88" width="12.44140625" bestFit="1" customWidth="1"/>
    <col min="89" max="89" width="29.109375" bestFit="1" customWidth="1"/>
    <col min="90" max="90" width="14" bestFit="1" customWidth="1"/>
    <col min="91" max="91" width="11" bestFit="1" customWidth="1"/>
  </cols>
  <sheetData>
    <row r="4" spans="4:26" x14ac:dyDescent="0.3">
      <c r="D4" t="s">
        <v>112</v>
      </c>
    </row>
    <row r="5" spans="4:26" x14ac:dyDescent="0.3">
      <c r="D5" t="s">
        <v>337</v>
      </c>
      <c r="E5" t="s">
        <v>338</v>
      </c>
      <c r="F5" t="s">
        <v>339</v>
      </c>
      <c r="G5" t="s">
        <v>297</v>
      </c>
      <c r="M5" s="5" t="s">
        <v>340</v>
      </c>
      <c r="N5" s="5" t="s">
        <v>317</v>
      </c>
    </row>
    <row r="6" spans="4:26" x14ac:dyDescent="0.3">
      <c r="D6" s="1">
        <v>1994</v>
      </c>
      <c r="E6" s="1">
        <v>8</v>
      </c>
      <c r="F6" s="1" t="s">
        <v>239</v>
      </c>
      <c r="G6" s="1">
        <v>105</v>
      </c>
      <c r="M6" s="5" t="s">
        <v>11</v>
      </c>
      <c r="N6">
        <v>1</v>
      </c>
      <c r="O6">
        <v>2</v>
      </c>
      <c r="P6">
        <v>3</v>
      </c>
      <c r="Q6">
        <v>4</v>
      </c>
      <c r="R6">
        <v>5</v>
      </c>
      <c r="S6">
        <v>6</v>
      </c>
      <c r="T6">
        <v>7</v>
      </c>
      <c r="U6">
        <v>8</v>
      </c>
      <c r="V6">
        <v>9</v>
      </c>
      <c r="W6">
        <v>10</v>
      </c>
      <c r="X6">
        <v>11</v>
      </c>
      <c r="Y6">
        <v>12</v>
      </c>
      <c r="Z6" t="s">
        <v>13</v>
      </c>
    </row>
    <row r="7" spans="4:26" ht="43.2" x14ac:dyDescent="0.3">
      <c r="D7" s="1">
        <v>1994</v>
      </c>
      <c r="E7" s="1">
        <v>8</v>
      </c>
      <c r="F7" s="1" t="s">
        <v>218</v>
      </c>
      <c r="G7" s="1">
        <v>100</v>
      </c>
      <c r="M7" s="6">
        <v>1994</v>
      </c>
      <c r="N7" s="7"/>
      <c r="O7" s="7"/>
      <c r="P7" s="7"/>
      <c r="Q7" s="7"/>
      <c r="R7" s="7"/>
      <c r="S7" s="7"/>
      <c r="T7" s="7"/>
      <c r="U7" s="7">
        <v>1462</v>
      </c>
      <c r="V7" s="7">
        <v>1322</v>
      </c>
      <c r="W7" s="7">
        <v>1124</v>
      </c>
      <c r="X7" s="7">
        <v>1669</v>
      </c>
      <c r="Y7" s="7">
        <v>1804</v>
      </c>
      <c r="Z7" s="7">
        <v>7381</v>
      </c>
    </row>
    <row r="8" spans="4:26" x14ac:dyDescent="0.3">
      <c r="D8" s="1">
        <v>1994</v>
      </c>
      <c r="E8" s="1">
        <v>8</v>
      </c>
      <c r="F8" s="1" t="s">
        <v>238</v>
      </c>
      <c r="G8" s="1">
        <v>95</v>
      </c>
      <c r="M8" s="8" t="s">
        <v>223</v>
      </c>
      <c r="N8" s="7"/>
      <c r="O8" s="7"/>
      <c r="P8" s="7"/>
      <c r="Q8" s="7"/>
      <c r="R8" s="7"/>
      <c r="S8" s="7"/>
      <c r="T8" s="7"/>
      <c r="U8" s="7">
        <v>30</v>
      </c>
      <c r="V8" s="7">
        <v>30</v>
      </c>
      <c r="W8" s="7">
        <v>40</v>
      </c>
      <c r="X8" s="7">
        <v>98</v>
      </c>
      <c r="Y8" s="7">
        <v>36</v>
      </c>
      <c r="Z8" s="7">
        <v>234</v>
      </c>
    </row>
    <row r="9" spans="4:26" x14ac:dyDescent="0.3">
      <c r="D9" s="1">
        <v>1994</v>
      </c>
      <c r="E9" s="1">
        <v>8</v>
      </c>
      <c r="F9" s="1" t="s">
        <v>291</v>
      </c>
      <c r="G9" s="1">
        <v>85</v>
      </c>
      <c r="M9" s="8" t="s">
        <v>286</v>
      </c>
      <c r="N9" s="7"/>
      <c r="O9" s="7"/>
      <c r="P9" s="7"/>
      <c r="Q9" s="7"/>
      <c r="R9" s="7"/>
      <c r="S9" s="7"/>
      <c r="T9" s="7"/>
      <c r="U9" s="7"/>
      <c r="V9" s="7">
        <v>30</v>
      </c>
      <c r="W9" s="7"/>
      <c r="X9" s="7"/>
      <c r="Y9" s="7"/>
      <c r="Z9" s="7">
        <v>30</v>
      </c>
    </row>
    <row r="10" spans="4:26" ht="57.6" x14ac:dyDescent="0.3">
      <c r="D10" s="1">
        <v>1994</v>
      </c>
      <c r="E10" s="1">
        <v>8</v>
      </c>
      <c r="F10" s="1" t="s">
        <v>274</v>
      </c>
      <c r="G10" s="1">
        <v>77</v>
      </c>
      <c r="M10" s="8" t="s">
        <v>237</v>
      </c>
      <c r="N10" s="7"/>
      <c r="O10" s="7"/>
      <c r="P10" s="7"/>
      <c r="Q10" s="7"/>
      <c r="R10" s="7"/>
      <c r="S10" s="7"/>
      <c r="T10" s="7"/>
      <c r="U10" s="7">
        <v>50</v>
      </c>
      <c r="V10" s="7">
        <v>100</v>
      </c>
      <c r="W10" s="7">
        <v>50</v>
      </c>
      <c r="X10" s="7"/>
      <c r="Y10" s="7">
        <v>4</v>
      </c>
      <c r="Z10" s="7">
        <v>204</v>
      </c>
    </row>
    <row r="11" spans="4:26" ht="43.2" x14ac:dyDescent="0.3">
      <c r="D11" s="1">
        <v>1994</v>
      </c>
      <c r="E11" s="1">
        <v>8</v>
      </c>
      <c r="F11" s="1" t="s">
        <v>222</v>
      </c>
      <c r="G11" s="1">
        <v>75</v>
      </c>
      <c r="M11" s="8" t="s">
        <v>216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20</v>
      </c>
      <c r="Y11" s="7">
        <v>80</v>
      </c>
      <c r="Z11" s="7">
        <v>100</v>
      </c>
    </row>
    <row r="12" spans="4:26" ht="28.8" x14ac:dyDescent="0.3">
      <c r="D12" s="1">
        <v>1994</v>
      </c>
      <c r="E12" s="1">
        <v>8</v>
      </c>
      <c r="F12" s="1" t="s">
        <v>267</v>
      </c>
      <c r="G12" s="1">
        <v>65</v>
      </c>
      <c r="M12" s="8" t="s">
        <v>219</v>
      </c>
      <c r="N12" s="7"/>
      <c r="O12" s="7"/>
      <c r="P12" s="7"/>
      <c r="Q12" s="7"/>
      <c r="R12" s="7"/>
      <c r="S12" s="7"/>
      <c r="T12" s="7"/>
      <c r="U12" s="7">
        <v>40</v>
      </c>
      <c r="V12" s="7">
        <v>76</v>
      </c>
      <c r="W12" s="7"/>
      <c r="X12" s="7"/>
      <c r="Y12" s="7">
        <v>143</v>
      </c>
      <c r="Z12" s="7">
        <v>259</v>
      </c>
    </row>
    <row r="13" spans="4:26" ht="43.2" x14ac:dyDescent="0.3">
      <c r="D13" s="1">
        <v>1994</v>
      </c>
      <c r="E13" s="1">
        <v>8</v>
      </c>
      <c r="F13" s="1" t="s">
        <v>245</v>
      </c>
      <c r="G13" s="1">
        <v>60</v>
      </c>
      <c r="M13" s="8" t="s">
        <v>224</v>
      </c>
      <c r="N13" s="7"/>
      <c r="O13" s="7"/>
      <c r="P13" s="7"/>
      <c r="Q13" s="7"/>
      <c r="R13" s="7"/>
      <c r="S13" s="7"/>
      <c r="T13" s="7"/>
      <c r="U13" s="7"/>
      <c r="V13" s="7">
        <v>12</v>
      </c>
      <c r="W13" s="7">
        <v>25</v>
      </c>
      <c r="X13" s="7">
        <v>60</v>
      </c>
      <c r="Y13" s="7"/>
      <c r="Z13" s="7">
        <v>97</v>
      </c>
    </row>
    <row r="14" spans="4:26" ht="28.8" x14ac:dyDescent="0.3">
      <c r="D14" s="1">
        <v>1994</v>
      </c>
      <c r="E14" s="1">
        <v>8</v>
      </c>
      <c r="F14" s="1" t="s">
        <v>288</v>
      </c>
      <c r="G14" s="1">
        <v>57</v>
      </c>
      <c r="M14" s="8" t="s">
        <v>249</v>
      </c>
      <c r="N14" s="7"/>
      <c r="O14" s="7"/>
      <c r="P14" s="7"/>
      <c r="Q14" s="7"/>
      <c r="R14" s="7"/>
      <c r="S14" s="7"/>
      <c r="T14" s="7"/>
      <c r="U14" s="7"/>
      <c r="V14" s="7">
        <v>63</v>
      </c>
      <c r="W14" s="7">
        <v>20</v>
      </c>
      <c r="X14" s="7"/>
      <c r="Y14" s="7">
        <v>27</v>
      </c>
      <c r="Z14" s="7">
        <v>110</v>
      </c>
    </row>
    <row r="15" spans="4:26" ht="72" x14ac:dyDescent="0.3">
      <c r="D15" s="1">
        <v>1994</v>
      </c>
      <c r="E15" s="1">
        <v>8</v>
      </c>
      <c r="F15" s="1" t="s">
        <v>263</v>
      </c>
      <c r="G15" s="1">
        <v>51</v>
      </c>
      <c r="M15" s="8" t="s">
        <v>239</v>
      </c>
      <c r="N15" s="7"/>
      <c r="O15" s="7"/>
      <c r="P15" s="7"/>
      <c r="Q15" s="7"/>
      <c r="R15" s="7"/>
      <c r="S15" s="7"/>
      <c r="T15" s="7"/>
      <c r="U15" s="7">
        <v>105</v>
      </c>
      <c r="V15" s="7"/>
      <c r="W15" s="7">
        <v>40</v>
      </c>
      <c r="X15" s="7">
        <v>56</v>
      </c>
      <c r="Y15" s="7"/>
      <c r="Z15" s="7">
        <v>201</v>
      </c>
    </row>
    <row r="16" spans="4:26" ht="43.2" x14ac:dyDescent="0.3">
      <c r="D16" s="1">
        <v>1994</v>
      </c>
      <c r="E16" s="1">
        <v>8</v>
      </c>
      <c r="F16" s="1" t="s">
        <v>237</v>
      </c>
      <c r="G16" s="1">
        <v>50</v>
      </c>
      <c r="M16" s="8" t="s">
        <v>252</v>
      </c>
      <c r="N16" s="7"/>
      <c r="O16" s="7"/>
      <c r="P16" s="7"/>
      <c r="Q16" s="7"/>
      <c r="R16" s="7"/>
      <c r="S16" s="7"/>
      <c r="T16" s="7"/>
      <c r="U16" s="7">
        <v>48</v>
      </c>
      <c r="V16" s="7"/>
      <c r="W16" s="7">
        <v>90</v>
      </c>
      <c r="X16" s="7">
        <v>4</v>
      </c>
      <c r="Y16" s="7">
        <v>104</v>
      </c>
      <c r="Z16" s="7">
        <v>246</v>
      </c>
    </row>
    <row r="17" spans="4:26" ht="28.8" x14ac:dyDescent="0.3">
      <c r="D17" s="1">
        <v>1994</v>
      </c>
      <c r="E17" s="1">
        <v>8</v>
      </c>
      <c r="F17" s="1" t="s">
        <v>252</v>
      </c>
      <c r="G17" s="1">
        <v>48</v>
      </c>
      <c r="M17" s="8" t="s">
        <v>259</v>
      </c>
      <c r="N17" s="7"/>
      <c r="O17" s="7"/>
      <c r="P17" s="7"/>
      <c r="Q17" s="7"/>
      <c r="R17" s="7"/>
      <c r="S17" s="7"/>
      <c r="T17" s="7"/>
      <c r="U17" s="7"/>
      <c r="V17" s="7"/>
      <c r="W17" s="7">
        <v>20</v>
      </c>
      <c r="X17" s="7">
        <v>52</v>
      </c>
      <c r="Y17" s="7">
        <v>35</v>
      </c>
      <c r="Z17" s="7">
        <v>107</v>
      </c>
    </row>
    <row r="18" spans="4:26" ht="43.2" x14ac:dyDescent="0.3">
      <c r="D18" s="1">
        <v>1994</v>
      </c>
      <c r="E18" s="1">
        <v>8</v>
      </c>
      <c r="F18" s="1" t="s">
        <v>278</v>
      </c>
      <c r="G18" s="1">
        <v>43</v>
      </c>
      <c r="M18" s="8" t="s">
        <v>274</v>
      </c>
      <c r="N18" s="7"/>
      <c r="O18" s="7"/>
      <c r="P18" s="7"/>
      <c r="Q18" s="7"/>
      <c r="R18" s="7"/>
      <c r="S18" s="7"/>
      <c r="T18" s="7"/>
      <c r="U18" s="7">
        <v>77</v>
      </c>
      <c r="V18" s="7">
        <v>20</v>
      </c>
      <c r="W18" s="7"/>
      <c r="X18" s="7"/>
      <c r="Y18" s="7"/>
      <c r="Z18" s="7">
        <v>97</v>
      </c>
    </row>
    <row r="19" spans="4:26" ht="28.8" x14ac:dyDescent="0.3">
      <c r="D19" s="1">
        <v>1994</v>
      </c>
      <c r="E19" s="1">
        <v>8</v>
      </c>
      <c r="F19" s="1" t="s">
        <v>254</v>
      </c>
      <c r="G19" s="1">
        <v>41</v>
      </c>
      <c r="M19" s="8" t="s">
        <v>271</v>
      </c>
      <c r="N19" s="7"/>
      <c r="O19" s="7"/>
      <c r="P19" s="7"/>
      <c r="Q19" s="7"/>
      <c r="R19" s="7"/>
      <c r="S19" s="7"/>
      <c r="T19" s="7"/>
      <c r="U19" s="7"/>
      <c r="V19" s="7"/>
      <c r="W19" s="7">
        <v>30</v>
      </c>
      <c r="X19" s="7">
        <v>30</v>
      </c>
      <c r="Y19" s="7"/>
      <c r="Z19" s="7">
        <v>60</v>
      </c>
    </row>
    <row r="20" spans="4:26" ht="43.2" x14ac:dyDescent="0.3">
      <c r="D20" s="1">
        <v>1994</v>
      </c>
      <c r="E20" s="1">
        <v>8</v>
      </c>
      <c r="F20" s="1" t="s">
        <v>219</v>
      </c>
      <c r="G20" s="1">
        <v>40</v>
      </c>
      <c r="M20" s="8" t="s">
        <v>285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28</v>
      </c>
      <c r="Y20" s="7"/>
      <c r="Z20" s="7">
        <v>28</v>
      </c>
    </row>
    <row r="21" spans="4:26" ht="57.6" x14ac:dyDescent="0.3">
      <c r="D21" s="1">
        <v>1994</v>
      </c>
      <c r="E21" s="1">
        <v>8</v>
      </c>
      <c r="F21" s="1" t="s">
        <v>229</v>
      </c>
      <c r="G21" s="1">
        <v>40</v>
      </c>
      <c r="M21" s="8" t="s">
        <v>235</v>
      </c>
      <c r="N21" s="7"/>
      <c r="O21" s="7"/>
      <c r="P21" s="7"/>
      <c r="Q21" s="7"/>
      <c r="R21" s="7"/>
      <c r="S21" s="7"/>
      <c r="T21" s="7"/>
      <c r="U21" s="7"/>
      <c r="V21" s="7">
        <v>20</v>
      </c>
      <c r="W21" s="7">
        <v>5</v>
      </c>
      <c r="X21" s="7">
        <v>70</v>
      </c>
      <c r="Y21" s="7">
        <v>5</v>
      </c>
      <c r="Z21" s="7">
        <v>100</v>
      </c>
    </row>
    <row r="22" spans="4:26" x14ac:dyDescent="0.3">
      <c r="D22" s="1">
        <v>1994</v>
      </c>
      <c r="E22" s="1">
        <v>8</v>
      </c>
      <c r="F22" s="1" t="s">
        <v>258</v>
      </c>
      <c r="G22" s="1">
        <v>40</v>
      </c>
      <c r="M22" s="8" t="s">
        <v>291</v>
      </c>
      <c r="N22" s="7"/>
      <c r="O22" s="7"/>
      <c r="P22" s="7"/>
      <c r="Q22" s="7"/>
      <c r="R22" s="7"/>
      <c r="S22" s="7"/>
      <c r="T22" s="7"/>
      <c r="U22" s="7">
        <v>85</v>
      </c>
      <c r="V22" s="7">
        <v>44</v>
      </c>
      <c r="W22" s="7"/>
      <c r="X22" s="7">
        <v>8</v>
      </c>
      <c r="Y22" s="7"/>
      <c r="Z22" s="7">
        <v>137</v>
      </c>
    </row>
    <row r="23" spans="4:26" ht="57.6" x14ac:dyDescent="0.3">
      <c r="D23" s="1">
        <v>1994</v>
      </c>
      <c r="E23" s="1">
        <v>8</v>
      </c>
      <c r="F23" s="1" t="s">
        <v>246</v>
      </c>
      <c r="G23" s="1">
        <v>35</v>
      </c>
      <c r="M23" s="8" t="s">
        <v>290</v>
      </c>
      <c r="N23" s="7"/>
      <c r="O23" s="7"/>
      <c r="P23" s="7"/>
      <c r="Q23" s="7"/>
      <c r="R23" s="7"/>
      <c r="S23" s="7"/>
      <c r="T23" s="7"/>
      <c r="U23" s="7"/>
      <c r="V23" s="7">
        <v>20</v>
      </c>
      <c r="W23" s="7"/>
      <c r="X23" s="7">
        <v>5</v>
      </c>
      <c r="Y23" s="7"/>
      <c r="Z23" s="7">
        <v>25</v>
      </c>
    </row>
    <row r="24" spans="4:26" ht="43.2" x14ac:dyDescent="0.3">
      <c r="D24" s="1">
        <v>1994</v>
      </c>
      <c r="E24" s="1">
        <v>8</v>
      </c>
      <c r="F24" s="1" t="s">
        <v>257</v>
      </c>
      <c r="G24" s="1">
        <v>30</v>
      </c>
      <c r="M24" s="8" t="s">
        <v>221</v>
      </c>
      <c r="N24" s="7"/>
      <c r="O24" s="7"/>
      <c r="P24" s="7"/>
      <c r="Q24" s="7"/>
      <c r="R24" s="7"/>
      <c r="S24" s="7"/>
      <c r="T24" s="7"/>
      <c r="U24" s="7">
        <v>2</v>
      </c>
      <c r="V24" s="7"/>
      <c r="W24" s="7">
        <v>24</v>
      </c>
      <c r="X24" s="7">
        <v>12</v>
      </c>
      <c r="Y24" s="7">
        <v>20</v>
      </c>
      <c r="Z24" s="7">
        <v>58</v>
      </c>
    </row>
    <row r="25" spans="4:26" ht="28.8" x14ac:dyDescent="0.3">
      <c r="D25" s="1">
        <v>1994</v>
      </c>
      <c r="E25" s="1">
        <v>8</v>
      </c>
      <c r="F25" s="1" t="s">
        <v>223</v>
      </c>
      <c r="G25" s="1">
        <v>30</v>
      </c>
      <c r="M25" s="8" t="s">
        <v>243</v>
      </c>
      <c r="N25" s="7"/>
      <c r="O25" s="7"/>
      <c r="P25" s="7"/>
      <c r="Q25" s="7"/>
      <c r="R25" s="7"/>
      <c r="S25" s="7"/>
      <c r="T25" s="7"/>
      <c r="U25" s="7">
        <v>20</v>
      </c>
      <c r="V25" s="7">
        <v>55</v>
      </c>
      <c r="W25" s="7"/>
      <c r="X25" s="7">
        <v>85</v>
      </c>
      <c r="Y25" s="7">
        <v>120</v>
      </c>
      <c r="Z25" s="7">
        <v>280</v>
      </c>
    </row>
    <row r="26" spans="4:26" ht="43.2" x14ac:dyDescent="0.3">
      <c r="D26" s="1">
        <v>1994</v>
      </c>
      <c r="E26" s="1">
        <v>8</v>
      </c>
      <c r="F26" s="1" t="s">
        <v>226</v>
      </c>
      <c r="G26" s="1">
        <v>29</v>
      </c>
      <c r="M26" s="8" t="s">
        <v>268</v>
      </c>
      <c r="N26" s="7"/>
      <c r="O26" s="7"/>
      <c r="P26" s="7"/>
      <c r="Q26" s="7"/>
      <c r="R26" s="7"/>
      <c r="S26" s="7"/>
      <c r="T26" s="7"/>
      <c r="U26" s="7"/>
      <c r="V26" s="7"/>
      <c r="W26" s="7">
        <v>30</v>
      </c>
      <c r="X26" s="7">
        <v>6</v>
      </c>
      <c r="Y26" s="7"/>
      <c r="Z26" s="7">
        <v>36</v>
      </c>
    </row>
    <row r="27" spans="4:26" ht="72" x14ac:dyDescent="0.3">
      <c r="D27" s="1">
        <v>1994</v>
      </c>
      <c r="E27" s="1">
        <v>8</v>
      </c>
      <c r="F27" s="1" t="s">
        <v>256</v>
      </c>
      <c r="G27" s="1">
        <v>27</v>
      </c>
      <c r="M27" s="8" t="s">
        <v>287</v>
      </c>
      <c r="N27" s="7"/>
      <c r="O27" s="7"/>
      <c r="P27" s="7"/>
      <c r="Q27" s="7"/>
      <c r="R27" s="7"/>
      <c r="S27" s="7"/>
      <c r="T27" s="7"/>
      <c r="U27" s="7">
        <v>1</v>
      </c>
      <c r="V27" s="7"/>
      <c r="W27" s="7"/>
      <c r="X27" s="7">
        <v>28</v>
      </c>
      <c r="Y27" s="7"/>
      <c r="Z27" s="7">
        <v>29</v>
      </c>
    </row>
    <row r="28" spans="4:26" x14ac:dyDescent="0.3">
      <c r="D28" s="1">
        <v>1994</v>
      </c>
      <c r="E28" s="1">
        <v>8</v>
      </c>
      <c r="F28" s="1" t="s">
        <v>247</v>
      </c>
      <c r="G28" s="1">
        <v>25</v>
      </c>
      <c r="M28" s="8" t="s">
        <v>278</v>
      </c>
      <c r="N28" s="7"/>
      <c r="O28" s="7"/>
      <c r="P28" s="7"/>
      <c r="Q28" s="7"/>
      <c r="R28" s="7"/>
      <c r="S28" s="7"/>
      <c r="T28" s="7"/>
      <c r="U28" s="7">
        <v>43</v>
      </c>
      <c r="V28" s="7">
        <v>40</v>
      </c>
      <c r="W28" s="7"/>
      <c r="X28" s="7"/>
      <c r="Y28" s="7">
        <v>45</v>
      </c>
      <c r="Z28" s="7">
        <v>128</v>
      </c>
    </row>
    <row r="29" spans="4:26" ht="43.2" x14ac:dyDescent="0.3">
      <c r="D29" s="1">
        <v>1994</v>
      </c>
      <c r="E29" s="1">
        <v>8</v>
      </c>
      <c r="F29" s="1" t="s">
        <v>244</v>
      </c>
      <c r="G29" s="1">
        <v>25</v>
      </c>
      <c r="M29" s="8" t="s">
        <v>228</v>
      </c>
      <c r="N29" s="7"/>
      <c r="O29" s="7"/>
      <c r="P29" s="7"/>
      <c r="Q29" s="7"/>
      <c r="R29" s="7"/>
      <c r="S29" s="7"/>
      <c r="T29" s="7"/>
      <c r="U29" s="7"/>
      <c r="V29" s="7"/>
      <c r="W29" s="7">
        <v>23</v>
      </c>
      <c r="X29" s="7"/>
      <c r="Y29" s="7">
        <v>68</v>
      </c>
      <c r="Z29" s="7">
        <v>91</v>
      </c>
    </row>
    <row r="30" spans="4:26" ht="28.8" x14ac:dyDescent="0.3">
      <c r="D30" s="1">
        <v>1994</v>
      </c>
      <c r="E30" s="1">
        <v>8</v>
      </c>
      <c r="F30" s="1" t="s">
        <v>236</v>
      </c>
      <c r="G30" s="1">
        <v>21</v>
      </c>
      <c r="M30" s="8" t="s">
        <v>255</v>
      </c>
      <c r="N30" s="7"/>
      <c r="O30" s="7"/>
      <c r="P30" s="7"/>
      <c r="Q30" s="7"/>
      <c r="R30" s="7"/>
      <c r="S30" s="7"/>
      <c r="T30" s="7"/>
      <c r="U30" s="7"/>
      <c r="V30" s="7">
        <v>61</v>
      </c>
      <c r="W30" s="7"/>
      <c r="X30" s="7"/>
      <c r="Y30" s="7">
        <v>77</v>
      </c>
      <c r="Z30" s="7">
        <v>138</v>
      </c>
    </row>
    <row r="31" spans="4:26" ht="28.8" x14ac:dyDescent="0.3">
      <c r="D31" s="1">
        <v>1994</v>
      </c>
      <c r="E31" s="1">
        <v>8</v>
      </c>
      <c r="F31" s="1" t="s">
        <v>243</v>
      </c>
      <c r="G31" s="1">
        <v>20</v>
      </c>
      <c r="M31" s="8" t="s">
        <v>233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v>74</v>
      </c>
      <c r="Y31" s="7">
        <v>16</v>
      </c>
      <c r="Z31" s="7">
        <v>90</v>
      </c>
    </row>
    <row r="32" spans="4:26" ht="28.8" x14ac:dyDescent="0.3">
      <c r="D32" s="1">
        <v>1994</v>
      </c>
      <c r="E32" s="1">
        <v>8</v>
      </c>
      <c r="F32" s="1" t="s">
        <v>248</v>
      </c>
      <c r="G32" s="1">
        <v>20</v>
      </c>
      <c r="M32" s="8" t="s">
        <v>269</v>
      </c>
      <c r="N32" s="7"/>
      <c r="O32" s="7"/>
      <c r="P32" s="7"/>
      <c r="Q32" s="7"/>
      <c r="R32" s="7"/>
      <c r="S32" s="7"/>
      <c r="T32" s="7"/>
      <c r="U32" s="7">
        <v>6</v>
      </c>
      <c r="V32" s="7"/>
      <c r="W32" s="7"/>
      <c r="X32" s="7"/>
      <c r="Y32" s="7"/>
      <c r="Z32" s="7">
        <v>6</v>
      </c>
    </row>
    <row r="33" spans="4:26" ht="28.8" x14ac:dyDescent="0.3">
      <c r="D33" s="1">
        <v>1994</v>
      </c>
      <c r="E33" s="1">
        <v>8</v>
      </c>
      <c r="F33" s="1" t="s">
        <v>234</v>
      </c>
      <c r="G33" s="1">
        <v>15</v>
      </c>
      <c r="M33" s="8" t="s">
        <v>232</v>
      </c>
      <c r="N33" s="7"/>
      <c r="O33" s="7"/>
      <c r="P33" s="7"/>
      <c r="Q33" s="7"/>
      <c r="R33" s="7"/>
      <c r="S33" s="7"/>
      <c r="T33" s="7"/>
      <c r="U33" s="7"/>
      <c r="V33" s="7">
        <v>39</v>
      </c>
      <c r="W33" s="7"/>
      <c r="X33" s="7"/>
      <c r="Y33" s="7">
        <v>30</v>
      </c>
      <c r="Z33" s="7">
        <v>69</v>
      </c>
    </row>
    <row r="34" spans="4:26" ht="28.8" x14ac:dyDescent="0.3">
      <c r="D34" s="1">
        <v>1994</v>
      </c>
      <c r="E34" s="1">
        <v>8</v>
      </c>
      <c r="F34" s="1" t="s">
        <v>220</v>
      </c>
      <c r="G34" s="1">
        <v>15</v>
      </c>
      <c r="M34" s="8" t="s">
        <v>247</v>
      </c>
      <c r="N34" s="7"/>
      <c r="O34" s="7"/>
      <c r="P34" s="7"/>
      <c r="Q34" s="7"/>
      <c r="R34" s="7"/>
      <c r="S34" s="7"/>
      <c r="T34" s="7"/>
      <c r="U34" s="7">
        <v>25</v>
      </c>
      <c r="V34" s="7">
        <v>30</v>
      </c>
      <c r="W34" s="7">
        <v>52</v>
      </c>
      <c r="X34" s="7">
        <v>60</v>
      </c>
      <c r="Y34" s="7">
        <v>20</v>
      </c>
      <c r="Z34" s="7">
        <v>187</v>
      </c>
    </row>
    <row r="35" spans="4:26" ht="72" x14ac:dyDescent="0.3">
      <c r="D35" s="1">
        <v>1994</v>
      </c>
      <c r="E35" s="1">
        <v>8</v>
      </c>
      <c r="F35" s="1" t="s">
        <v>231</v>
      </c>
      <c r="G35" s="1">
        <v>15</v>
      </c>
      <c r="M35" s="8" t="s">
        <v>227</v>
      </c>
      <c r="N35" s="7"/>
      <c r="O35" s="7"/>
      <c r="P35" s="7"/>
      <c r="Q35" s="7"/>
      <c r="R35" s="7"/>
      <c r="S35" s="7"/>
      <c r="T35" s="7"/>
      <c r="U35" s="7"/>
      <c r="V35" s="7">
        <v>40</v>
      </c>
      <c r="W35" s="7">
        <v>56</v>
      </c>
      <c r="X35" s="7">
        <v>40</v>
      </c>
      <c r="Y35" s="7"/>
      <c r="Z35" s="7">
        <v>136</v>
      </c>
    </row>
    <row r="36" spans="4:26" ht="28.8" x14ac:dyDescent="0.3">
      <c r="D36" s="1">
        <v>1994</v>
      </c>
      <c r="E36" s="1">
        <v>8</v>
      </c>
      <c r="F36" s="1" t="s">
        <v>241</v>
      </c>
      <c r="G36" s="1">
        <v>15</v>
      </c>
      <c r="M36" s="8" t="s">
        <v>263</v>
      </c>
      <c r="N36" s="7"/>
      <c r="O36" s="7"/>
      <c r="P36" s="7"/>
      <c r="Q36" s="7"/>
      <c r="R36" s="7"/>
      <c r="S36" s="7"/>
      <c r="T36" s="7"/>
      <c r="U36" s="7">
        <v>51</v>
      </c>
      <c r="V36" s="7"/>
      <c r="W36" s="7">
        <v>10</v>
      </c>
      <c r="X36" s="7">
        <v>32</v>
      </c>
      <c r="Y36" s="7">
        <v>13</v>
      </c>
      <c r="Z36" s="7">
        <v>106</v>
      </c>
    </row>
    <row r="37" spans="4:26" ht="28.8" x14ac:dyDescent="0.3">
      <c r="D37" s="1">
        <v>1994</v>
      </c>
      <c r="E37" s="1">
        <v>8</v>
      </c>
      <c r="F37" s="1" t="s">
        <v>250</v>
      </c>
      <c r="G37" s="1">
        <v>12</v>
      </c>
      <c r="M37" s="8" t="s">
        <v>275</v>
      </c>
      <c r="N37" s="7"/>
      <c r="O37" s="7"/>
      <c r="P37" s="7"/>
      <c r="Q37" s="7"/>
      <c r="R37" s="7"/>
      <c r="S37" s="7"/>
      <c r="T37" s="7"/>
      <c r="U37" s="7"/>
      <c r="V37" s="7">
        <v>30</v>
      </c>
      <c r="W37" s="7"/>
      <c r="X37" s="7">
        <v>12</v>
      </c>
      <c r="Y37" s="7"/>
      <c r="Z37" s="7">
        <v>42</v>
      </c>
    </row>
    <row r="38" spans="4:26" ht="57.6" x14ac:dyDescent="0.3">
      <c r="D38" s="1">
        <v>1994</v>
      </c>
      <c r="E38" s="1">
        <v>8</v>
      </c>
      <c r="F38" s="1" t="s">
        <v>253</v>
      </c>
      <c r="G38" s="1">
        <v>12</v>
      </c>
      <c r="M38" s="8" t="s">
        <v>241</v>
      </c>
      <c r="N38" s="7"/>
      <c r="O38" s="7"/>
      <c r="P38" s="7"/>
      <c r="Q38" s="7"/>
      <c r="R38" s="7"/>
      <c r="S38" s="7"/>
      <c r="T38" s="7"/>
      <c r="U38" s="7">
        <v>15</v>
      </c>
      <c r="V38" s="7">
        <v>33</v>
      </c>
      <c r="W38" s="7"/>
      <c r="X38" s="7">
        <v>36</v>
      </c>
      <c r="Y38" s="7">
        <v>27</v>
      </c>
      <c r="Z38" s="7">
        <v>111</v>
      </c>
    </row>
    <row r="39" spans="4:26" ht="57.6" x14ac:dyDescent="0.3">
      <c r="D39" s="1">
        <v>1994</v>
      </c>
      <c r="E39" s="1">
        <v>8</v>
      </c>
      <c r="F39" s="1" t="s">
        <v>261</v>
      </c>
      <c r="G39" s="1">
        <v>10</v>
      </c>
      <c r="M39" s="8" t="s">
        <v>289</v>
      </c>
      <c r="N39" s="7"/>
      <c r="O39" s="7"/>
      <c r="P39" s="7"/>
      <c r="Q39" s="7"/>
      <c r="R39" s="7"/>
      <c r="S39" s="7"/>
      <c r="T39" s="7"/>
      <c r="U39" s="7"/>
      <c r="V39" s="7">
        <v>5</v>
      </c>
      <c r="W39" s="7"/>
      <c r="X39" s="7"/>
      <c r="Y39" s="7"/>
      <c r="Z39" s="7">
        <v>5</v>
      </c>
    </row>
    <row r="40" spans="4:26" ht="57.6" x14ac:dyDescent="0.3">
      <c r="D40" s="1">
        <v>1994</v>
      </c>
      <c r="E40" s="1">
        <v>8</v>
      </c>
      <c r="F40" s="1" t="s">
        <v>217</v>
      </c>
      <c r="G40" s="1">
        <v>10</v>
      </c>
      <c r="M40" s="8" t="s">
        <v>288</v>
      </c>
      <c r="N40" s="7"/>
      <c r="O40" s="7"/>
      <c r="P40" s="7"/>
      <c r="Q40" s="7"/>
      <c r="R40" s="7"/>
      <c r="S40" s="7"/>
      <c r="T40" s="7"/>
      <c r="U40" s="7">
        <v>57</v>
      </c>
      <c r="V40" s="7"/>
      <c r="W40" s="7"/>
      <c r="X40" s="7"/>
      <c r="Y40" s="7"/>
      <c r="Z40" s="7">
        <v>57</v>
      </c>
    </row>
    <row r="41" spans="4:26" x14ac:dyDescent="0.3">
      <c r="D41" s="1">
        <v>1994</v>
      </c>
      <c r="E41" s="1">
        <v>8</v>
      </c>
      <c r="F41" s="1" t="s">
        <v>266</v>
      </c>
      <c r="G41" s="1">
        <v>9</v>
      </c>
      <c r="M41" s="8" t="s">
        <v>246</v>
      </c>
      <c r="N41" s="7"/>
      <c r="O41" s="7"/>
      <c r="P41" s="7"/>
      <c r="Q41" s="7"/>
      <c r="R41" s="7"/>
      <c r="S41" s="7"/>
      <c r="T41" s="7"/>
      <c r="U41" s="7">
        <v>35</v>
      </c>
      <c r="V41" s="7"/>
      <c r="W41" s="7">
        <v>30</v>
      </c>
      <c r="X41" s="7">
        <v>40</v>
      </c>
      <c r="Y41" s="7">
        <v>30</v>
      </c>
      <c r="Z41" s="7">
        <v>135</v>
      </c>
    </row>
    <row r="42" spans="4:26" ht="43.2" x14ac:dyDescent="0.3">
      <c r="D42" s="1">
        <v>1994</v>
      </c>
      <c r="E42" s="1">
        <v>8</v>
      </c>
      <c r="F42" s="1" t="s">
        <v>269</v>
      </c>
      <c r="G42" s="1">
        <v>6</v>
      </c>
      <c r="M42" s="8" t="s">
        <v>283</v>
      </c>
      <c r="N42" s="7"/>
      <c r="O42" s="7"/>
      <c r="P42" s="7"/>
      <c r="Q42" s="7"/>
      <c r="R42" s="7"/>
      <c r="S42" s="7"/>
      <c r="T42" s="7"/>
      <c r="U42" s="7"/>
      <c r="V42" s="7"/>
      <c r="W42" s="7">
        <v>30</v>
      </c>
      <c r="X42" s="7"/>
      <c r="Y42" s="7"/>
      <c r="Z42" s="7">
        <v>30</v>
      </c>
    </row>
    <row r="43" spans="4:26" ht="43.2" x14ac:dyDescent="0.3">
      <c r="D43" s="1">
        <v>1994</v>
      </c>
      <c r="E43" s="1">
        <v>8</v>
      </c>
      <c r="F43" s="1" t="s">
        <v>262</v>
      </c>
      <c r="G43" s="1">
        <v>6</v>
      </c>
      <c r="M43" s="8" t="s">
        <v>222</v>
      </c>
      <c r="N43" s="7"/>
      <c r="O43" s="7"/>
      <c r="P43" s="7"/>
      <c r="Q43" s="7"/>
      <c r="R43" s="7"/>
      <c r="S43" s="7"/>
      <c r="T43" s="7"/>
      <c r="U43" s="7">
        <v>75</v>
      </c>
      <c r="V43" s="7">
        <v>2</v>
      </c>
      <c r="W43" s="7"/>
      <c r="X43" s="7">
        <v>48</v>
      </c>
      <c r="Y43" s="7">
        <v>20</v>
      </c>
      <c r="Z43" s="7">
        <v>145</v>
      </c>
    </row>
    <row r="44" spans="4:26" ht="43.2" x14ac:dyDescent="0.3">
      <c r="D44" s="1">
        <v>1994</v>
      </c>
      <c r="E44" s="1">
        <v>8</v>
      </c>
      <c r="F44" s="1" t="s">
        <v>221</v>
      </c>
      <c r="G44" s="1">
        <v>2</v>
      </c>
      <c r="M44" s="8" t="s">
        <v>262</v>
      </c>
      <c r="N44" s="7"/>
      <c r="O44" s="7"/>
      <c r="P44" s="7"/>
      <c r="Q44" s="7"/>
      <c r="R44" s="7"/>
      <c r="S44" s="7"/>
      <c r="T44" s="7"/>
      <c r="U44" s="7">
        <v>6</v>
      </c>
      <c r="V44" s="7"/>
      <c r="W44" s="7">
        <v>40</v>
      </c>
      <c r="X44" s="7">
        <v>6</v>
      </c>
      <c r="Y44" s="7"/>
      <c r="Z44" s="7">
        <v>52</v>
      </c>
    </row>
    <row r="45" spans="4:26" ht="28.8" x14ac:dyDescent="0.3">
      <c r="D45" s="1">
        <v>1994</v>
      </c>
      <c r="E45" s="1">
        <v>8</v>
      </c>
      <c r="F45" s="1" t="s">
        <v>287</v>
      </c>
      <c r="G45" s="1">
        <v>1</v>
      </c>
      <c r="M45" s="8" t="s">
        <v>258</v>
      </c>
      <c r="N45" s="7"/>
      <c r="O45" s="7"/>
      <c r="P45" s="7"/>
      <c r="Q45" s="7"/>
      <c r="R45" s="7"/>
      <c r="S45" s="7"/>
      <c r="T45" s="7"/>
      <c r="U45" s="7">
        <v>40</v>
      </c>
      <c r="V45" s="7">
        <v>15</v>
      </c>
      <c r="W45" s="7">
        <v>30</v>
      </c>
      <c r="X45" s="7"/>
      <c r="Y45" s="7">
        <v>35</v>
      </c>
      <c r="Z45" s="7">
        <v>120</v>
      </c>
    </row>
    <row r="46" spans="4:26" ht="28.8" x14ac:dyDescent="0.3">
      <c r="D46" s="1">
        <v>1994</v>
      </c>
      <c r="E46" s="1">
        <v>9</v>
      </c>
      <c r="F46" s="1" t="s">
        <v>248</v>
      </c>
      <c r="G46" s="1">
        <v>104</v>
      </c>
      <c r="M46" s="8" t="s">
        <v>226</v>
      </c>
      <c r="N46" s="7"/>
      <c r="O46" s="7"/>
      <c r="P46" s="7"/>
      <c r="Q46" s="7"/>
      <c r="R46" s="7"/>
      <c r="S46" s="7"/>
      <c r="T46" s="7"/>
      <c r="U46" s="7">
        <v>29</v>
      </c>
      <c r="V46" s="7">
        <v>34</v>
      </c>
      <c r="W46" s="7">
        <v>20</v>
      </c>
      <c r="X46" s="7">
        <v>90</v>
      </c>
      <c r="Y46" s="7"/>
      <c r="Z46" s="7">
        <v>173</v>
      </c>
    </row>
    <row r="47" spans="4:26" ht="43.2" x14ac:dyDescent="0.3">
      <c r="D47" s="1">
        <v>1994</v>
      </c>
      <c r="E47" s="1">
        <v>9</v>
      </c>
      <c r="F47" s="1" t="s">
        <v>237</v>
      </c>
      <c r="G47" s="1">
        <v>100</v>
      </c>
      <c r="M47" s="8" t="s">
        <v>245</v>
      </c>
      <c r="N47" s="7"/>
      <c r="O47" s="7"/>
      <c r="P47" s="7"/>
      <c r="Q47" s="7"/>
      <c r="R47" s="7"/>
      <c r="S47" s="7"/>
      <c r="T47" s="7"/>
      <c r="U47" s="7">
        <v>60</v>
      </c>
      <c r="V47" s="7">
        <v>6</v>
      </c>
      <c r="W47" s="7">
        <v>10</v>
      </c>
      <c r="X47" s="7">
        <v>58</v>
      </c>
      <c r="Y47" s="7"/>
      <c r="Z47" s="7">
        <v>134</v>
      </c>
    </row>
    <row r="48" spans="4:26" ht="43.2" x14ac:dyDescent="0.3">
      <c r="D48" s="1">
        <v>1994</v>
      </c>
      <c r="E48" s="1">
        <v>9</v>
      </c>
      <c r="F48" s="1" t="s">
        <v>219</v>
      </c>
      <c r="G48" s="1">
        <v>76</v>
      </c>
      <c r="M48" s="8" t="s">
        <v>251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>
        <v>140</v>
      </c>
      <c r="Z48" s="7">
        <v>140</v>
      </c>
    </row>
    <row r="49" spans="4:26" x14ac:dyDescent="0.3">
      <c r="D49" s="1">
        <v>1994</v>
      </c>
      <c r="E49" s="1">
        <v>9</v>
      </c>
      <c r="F49" s="1" t="s">
        <v>249</v>
      </c>
      <c r="G49" s="1">
        <v>63</v>
      </c>
      <c r="M49" s="8" t="s">
        <v>282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>
        <v>4</v>
      </c>
      <c r="Y49" s="7">
        <v>60</v>
      </c>
      <c r="Z49" s="7">
        <v>64</v>
      </c>
    </row>
    <row r="50" spans="4:26" ht="28.8" x14ac:dyDescent="0.3">
      <c r="D50" s="1">
        <v>1994</v>
      </c>
      <c r="E50" s="1">
        <v>9</v>
      </c>
      <c r="F50" s="1" t="s">
        <v>255</v>
      </c>
      <c r="G50" s="1">
        <v>61</v>
      </c>
      <c r="M50" s="8" t="s">
        <v>256</v>
      </c>
      <c r="N50" s="7"/>
      <c r="O50" s="7"/>
      <c r="P50" s="7"/>
      <c r="Q50" s="7"/>
      <c r="R50" s="7"/>
      <c r="S50" s="7"/>
      <c r="T50" s="7"/>
      <c r="U50" s="7">
        <v>27</v>
      </c>
      <c r="V50" s="7">
        <v>10</v>
      </c>
      <c r="W50" s="7"/>
      <c r="X50" s="7"/>
      <c r="Y50" s="7">
        <v>12</v>
      </c>
      <c r="Z50" s="7">
        <v>49</v>
      </c>
    </row>
    <row r="51" spans="4:26" ht="28.8" x14ac:dyDescent="0.3">
      <c r="D51" s="1">
        <v>1994</v>
      </c>
      <c r="E51" s="1">
        <v>9</v>
      </c>
      <c r="F51" s="1" t="s">
        <v>243</v>
      </c>
      <c r="G51" s="1">
        <v>55</v>
      </c>
      <c r="M51" s="8" t="s">
        <v>254</v>
      </c>
      <c r="N51" s="7"/>
      <c r="O51" s="7"/>
      <c r="P51" s="7"/>
      <c r="Q51" s="7"/>
      <c r="R51" s="7"/>
      <c r="S51" s="7"/>
      <c r="T51" s="7"/>
      <c r="U51" s="7">
        <v>41</v>
      </c>
      <c r="V51" s="7"/>
      <c r="W51" s="7">
        <v>55</v>
      </c>
      <c r="X51" s="7"/>
      <c r="Y51" s="7"/>
      <c r="Z51" s="7">
        <v>96</v>
      </c>
    </row>
    <row r="52" spans="4:26" ht="28.8" x14ac:dyDescent="0.3">
      <c r="D52" s="1">
        <v>1994</v>
      </c>
      <c r="E52" s="1">
        <v>9</v>
      </c>
      <c r="F52" s="1" t="s">
        <v>220</v>
      </c>
      <c r="G52" s="1">
        <v>52</v>
      </c>
      <c r="M52" s="8" t="s">
        <v>236</v>
      </c>
      <c r="N52" s="7"/>
      <c r="O52" s="7"/>
      <c r="P52" s="7"/>
      <c r="Q52" s="7"/>
      <c r="R52" s="7"/>
      <c r="S52" s="7"/>
      <c r="T52" s="7"/>
      <c r="U52" s="7">
        <v>21</v>
      </c>
      <c r="V52" s="7">
        <v>20</v>
      </c>
      <c r="W52" s="7"/>
      <c r="X52" s="7">
        <v>40</v>
      </c>
      <c r="Y52" s="7">
        <v>12</v>
      </c>
      <c r="Z52" s="7">
        <v>93</v>
      </c>
    </row>
    <row r="53" spans="4:26" x14ac:dyDescent="0.3">
      <c r="D53" s="1">
        <v>1994</v>
      </c>
      <c r="E53" s="1">
        <v>9</v>
      </c>
      <c r="F53" s="1" t="s">
        <v>291</v>
      </c>
      <c r="G53" s="1">
        <v>44</v>
      </c>
      <c r="M53" s="8" t="s">
        <v>238</v>
      </c>
      <c r="N53" s="7"/>
      <c r="O53" s="7"/>
      <c r="P53" s="7"/>
      <c r="Q53" s="7"/>
      <c r="R53" s="7"/>
      <c r="S53" s="7"/>
      <c r="T53" s="7"/>
      <c r="U53" s="7">
        <v>95</v>
      </c>
      <c r="V53" s="7">
        <v>40</v>
      </c>
      <c r="W53" s="7">
        <v>40</v>
      </c>
      <c r="X53" s="7">
        <v>21</v>
      </c>
      <c r="Y53" s="7">
        <v>56</v>
      </c>
      <c r="Z53" s="7">
        <v>252</v>
      </c>
    </row>
    <row r="54" spans="4:26" ht="57.6" x14ac:dyDescent="0.3">
      <c r="D54" s="1">
        <v>1994</v>
      </c>
      <c r="E54" s="1">
        <v>9</v>
      </c>
      <c r="F54" s="1" t="s">
        <v>265</v>
      </c>
      <c r="G54" s="1">
        <v>42</v>
      </c>
      <c r="M54" s="8" t="s">
        <v>234</v>
      </c>
      <c r="N54" s="7"/>
      <c r="O54" s="7"/>
      <c r="P54" s="7"/>
      <c r="Q54" s="7"/>
      <c r="R54" s="7"/>
      <c r="S54" s="7"/>
      <c r="T54" s="7"/>
      <c r="U54" s="7">
        <v>15</v>
      </c>
      <c r="V54" s="7">
        <v>36</v>
      </c>
      <c r="W54" s="7">
        <v>30</v>
      </c>
      <c r="X54" s="7"/>
      <c r="Y54" s="7"/>
      <c r="Z54" s="7">
        <v>81</v>
      </c>
    </row>
    <row r="55" spans="4:26" ht="28.8" x14ac:dyDescent="0.3">
      <c r="D55" s="1">
        <v>1994</v>
      </c>
      <c r="E55" s="1">
        <v>9</v>
      </c>
      <c r="F55" s="1" t="s">
        <v>227</v>
      </c>
      <c r="G55" s="1">
        <v>40</v>
      </c>
      <c r="M55" s="8" t="s">
        <v>250</v>
      </c>
      <c r="N55" s="7"/>
      <c r="O55" s="7"/>
      <c r="P55" s="7"/>
      <c r="Q55" s="7"/>
      <c r="R55" s="7"/>
      <c r="S55" s="7"/>
      <c r="T55" s="7"/>
      <c r="U55" s="7">
        <v>12</v>
      </c>
      <c r="V55" s="7"/>
      <c r="W55" s="7">
        <v>12</v>
      </c>
      <c r="X55" s="7">
        <v>50</v>
      </c>
      <c r="Y55" s="7">
        <v>36</v>
      </c>
      <c r="Z55" s="7">
        <v>110</v>
      </c>
    </row>
    <row r="56" spans="4:26" ht="43.2" x14ac:dyDescent="0.3">
      <c r="D56" s="1">
        <v>1994</v>
      </c>
      <c r="E56" s="1">
        <v>9</v>
      </c>
      <c r="F56" s="1" t="s">
        <v>278</v>
      </c>
      <c r="G56" s="1">
        <v>40</v>
      </c>
      <c r="M56" s="8" t="s">
        <v>253</v>
      </c>
      <c r="N56" s="7"/>
      <c r="O56" s="7"/>
      <c r="P56" s="7"/>
      <c r="Q56" s="7"/>
      <c r="R56" s="7"/>
      <c r="S56" s="7"/>
      <c r="T56" s="7"/>
      <c r="U56" s="7">
        <v>12</v>
      </c>
      <c r="V56" s="7"/>
      <c r="W56" s="7"/>
      <c r="X56" s="7"/>
      <c r="Y56" s="7"/>
      <c r="Z56" s="7">
        <v>12</v>
      </c>
    </row>
    <row r="57" spans="4:26" x14ac:dyDescent="0.3">
      <c r="D57" s="1">
        <v>1994</v>
      </c>
      <c r="E57" s="1">
        <v>9</v>
      </c>
      <c r="F57" s="1" t="s">
        <v>238</v>
      </c>
      <c r="G57" s="1">
        <v>40</v>
      </c>
      <c r="M57" s="8" t="s">
        <v>281</v>
      </c>
      <c r="N57" s="7"/>
      <c r="O57" s="7"/>
      <c r="P57" s="7"/>
      <c r="Q57" s="7"/>
      <c r="R57" s="7"/>
      <c r="S57" s="7"/>
      <c r="T57" s="7"/>
      <c r="U57" s="7"/>
      <c r="V57" s="7">
        <v>25</v>
      </c>
      <c r="W57" s="7"/>
      <c r="X57" s="7"/>
      <c r="Y57" s="7"/>
      <c r="Z57" s="7">
        <v>25</v>
      </c>
    </row>
    <row r="58" spans="4:26" x14ac:dyDescent="0.3">
      <c r="D58" s="1">
        <v>1994</v>
      </c>
      <c r="E58" s="1">
        <v>9</v>
      </c>
      <c r="F58" s="1" t="s">
        <v>232</v>
      </c>
      <c r="G58" s="1">
        <v>39</v>
      </c>
      <c r="M58" s="8" t="s">
        <v>225</v>
      </c>
      <c r="N58" s="7"/>
      <c r="O58" s="7"/>
      <c r="P58" s="7"/>
      <c r="Q58" s="7"/>
      <c r="R58" s="7"/>
      <c r="S58" s="7"/>
      <c r="T58" s="7"/>
      <c r="U58" s="7"/>
      <c r="V58" s="7">
        <v>20</v>
      </c>
      <c r="W58" s="7">
        <v>32</v>
      </c>
      <c r="X58" s="7">
        <v>14</v>
      </c>
      <c r="Y58" s="7">
        <v>43</v>
      </c>
      <c r="Z58" s="7">
        <v>109</v>
      </c>
    </row>
    <row r="59" spans="4:26" ht="28.8" x14ac:dyDescent="0.3">
      <c r="D59" s="1">
        <v>1994</v>
      </c>
      <c r="E59" s="1">
        <v>9</v>
      </c>
      <c r="F59" s="1" t="s">
        <v>234</v>
      </c>
      <c r="G59" s="1">
        <v>36</v>
      </c>
      <c r="M59" s="8" t="s">
        <v>218</v>
      </c>
      <c r="N59" s="7"/>
      <c r="O59" s="7"/>
      <c r="P59" s="7"/>
      <c r="Q59" s="7"/>
      <c r="R59" s="7"/>
      <c r="S59" s="7"/>
      <c r="T59" s="7"/>
      <c r="U59" s="7">
        <v>100</v>
      </c>
      <c r="V59" s="7">
        <v>21</v>
      </c>
      <c r="W59" s="7">
        <v>40</v>
      </c>
      <c r="X59" s="7">
        <v>58</v>
      </c>
      <c r="Y59" s="7"/>
      <c r="Z59" s="7">
        <v>219</v>
      </c>
    </row>
    <row r="60" spans="4:26" ht="43.2" x14ac:dyDescent="0.3">
      <c r="D60" s="1">
        <v>1994</v>
      </c>
      <c r="E60" s="1">
        <v>9</v>
      </c>
      <c r="F60" s="1" t="s">
        <v>226</v>
      </c>
      <c r="G60" s="1">
        <v>34</v>
      </c>
      <c r="M60" s="8" t="s">
        <v>267</v>
      </c>
      <c r="N60" s="7"/>
      <c r="O60" s="7"/>
      <c r="P60" s="7"/>
      <c r="Q60" s="7"/>
      <c r="R60" s="7"/>
      <c r="S60" s="7"/>
      <c r="T60" s="7"/>
      <c r="U60" s="7">
        <v>65</v>
      </c>
      <c r="V60" s="7">
        <v>2</v>
      </c>
      <c r="W60" s="7"/>
      <c r="X60" s="7">
        <v>16</v>
      </c>
      <c r="Y60" s="7">
        <v>50</v>
      </c>
      <c r="Z60" s="7">
        <v>133</v>
      </c>
    </row>
    <row r="61" spans="4:26" ht="28.8" x14ac:dyDescent="0.3">
      <c r="D61" s="1">
        <v>1994</v>
      </c>
      <c r="E61" s="1">
        <v>9</v>
      </c>
      <c r="F61" s="1" t="s">
        <v>241</v>
      </c>
      <c r="G61" s="1">
        <v>33</v>
      </c>
      <c r="M61" s="8" t="s">
        <v>265</v>
      </c>
      <c r="N61" s="7"/>
      <c r="O61" s="7"/>
      <c r="P61" s="7"/>
      <c r="Q61" s="7"/>
      <c r="R61" s="7"/>
      <c r="S61" s="7"/>
      <c r="T61" s="7"/>
      <c r="U61" s="7"/>
      <c r="V61" s="7">
        <v>42</v>
      </c>
      <c r="W61" s="7">
        <v>10</v>
      </c>
      <c r="X61" s="7">
        <v>50</v>
      </c>
      <c r="Y61" s="7">
        <v>18</v>
      </c>
      <c r="Z61" s="7">
        <v>120</v>
      </c>
    </row>
    <row r="62" spans="4:26" x14ac:dyDescent="0.3">
      <c r="D62" s="1">
        <v>1994</v>
      </c>
      <c r="E62" s="1">
        <v>9</v>
      </c>
      <c r="F62" s="1" t="s">
        <v>247</v>
      </c>
      <c r="G62" s="1">
        <v>30</v>
      </c>
      <c r="M62" s="8" t="s">
        <v>270</v>
      </c>
      <c r="N62" s="7"/>
      <c r="O62" s="7"/>
      <c r="P62" s="7"/>
      <c r="Q62" s="7"/>
      <c r="R62" s="7"/>
      <c r="S62" s="7"/>
      <c r="T62" s="7"/>
      <c r="U62" s="7"/>
      <c r="V62" s="7">
        <v>20</v>
      </c>
      <c r="W62" s="7">
        <v>14</v>
      </c>
      <c r="X62" s="7"/>
      <c r="Y62" s="7">
        <v>46</v>
      </c>
      <c r="Z62" s="7">
        <v>80</v>
      </c>
    </row>
    <row r="63" spans="4:26" x14ac:dyDescent="0.3">
      <c r="D63" s="1">
        <v>1994</v>
      </c>
      <c r="E63" s="1">
        <v>9</v>
      </c>
      <c r="F63" s="1" t="s">
        <v>275</v>
      </c>
      <c r="G63" s="1">
        <v>30</v>
      </c>
      <c r="M63" s="8" t="s">
        <v>244</v>
      </c>
      <c r="N63" s="7"/>
      <c r="O63" s="7"/>
      <c r="P63" s="7"/>
      <c r="Q63" s="7"/>
      <c r="R63" s="7"/>
      <c r="S63" s="7"/>
      <c r="T63" s="7"/>
      <c r="U63" s="7">
        <v>25</v>
      </c>
      <c r="V63" s="7">
        <v>15</v>
      </c>
      <c r="W63" s="7"/>
      <c r="X63" s="7"/>
      <c r="Y63" s="7"/>
      <c r="Z63" s="7">
        <v>40</v>
      </c>
    </row>
    <row r="64" spans="4:26" ht="28.8" x14ac:dyDescent="0.3">
      <c r="D64" s="1">
        <v>1994</v>
      </c>
      <c r="E64" s="1">
        <v>9</v>
      </c>
      <c r="F64" s="1" t="s">
        <v>223</v>
      </c>
      <c r="G64" s="1">
        <v>30</v>
      </c>
      <c r="M64" s="8" t="s">
        <v>260</v>
      </c>
      <c r="N64" s="7"/>
      <c r="O64" s="7"/>
      <c r="P64" s="7"/>
      <c r="Q64" s="7"/>
      <c r="R64" s="7"/>
      <c r="S64" s="7"/>
      <c r="T64" s="7"/>
      <c r="U64" s="7"/>
      <c r="V64" s="7">
        <v>3</v>
      </c>
      <c r="W64" s="7">
        <v>38</v>
      </c>
      <c r="X64" s="7">
        <v>20</v>
      </c>
      <c r="Y64" s="7">
        <v>4</v>
      </c>
      <c r="Z64" s="7">
        <v>65</v>
      </c>
    </row>
    <row r="65" spans="4:26" ht="28.8" x14ac:dyDescent="0.3">
      <c r="D65" s="1">
        <v>1994</v>
      </c>
      <c r="E65" s="1">
        <v>9</v>
      </c>
      <c r="F65" s="1" t="s">
        <v>286</v>
      </c>
      <c r="G65" s="1">
        <v>30</v>
      </c>
      <c r="M65" s="8" t="s">
        <v>261</v>
      </c>
      <c r="N65" s="7"/>
      <c r="O65" s="7"/>
      <c r="P65" s="7"/>
      <c r="Q65" s="7"/>
      <c r="R65" s="7"/>
      <c r="S65" s="7"/>
      <c r="T65" s="7"/>
      <c r="U65" s="7">
        <v>10</v>
      </c>
      <c r="V65" s="7"/>
      <c r="W65" s="7">
        <v>8</v>
      </c>
      <c r="X65" s="7">
        <v>10</v>
      </c>
      <c r="Y65" s="7">
        <v>9</v>
      </c>
      <c r="Z65" s="7">
        <v>37</v>
      </c>
    </row>
    <row r="66" spans="4:26" ht="57.6" x14ac:dyDescent="0.3">
      <c r="D66" s="1">
        <v>1994</v>
      </c>
      <c r="E66" s="1">
        <v>9</v>
      </c>
      <c r="F66" s="1" t="s">
        <v>229</v>
      </c>
      <c r="G66" s="1">
        <v>26</v>
      </c>
      <c r="M66" s="8" t="s">
        <v>229</v>
      </c>
      <c r="N66" s="7"/>
      <c r="O66" s="7"/>
      <c r="P66" s="7"/>
      <c r="Q66" s="7"/>
      <c r="R66" s="7"/>
      <c r="S66" s="7"/>
      <c r="T66" s="7"/>
      <c r="U66" s="7">
        <v>40</v>
      </c>
      <c r="V66" s="7">
        <v>26</v>
      </c>
      <c r="W66" s="7"/>
      <c r="X66" s="7"/>
      <c r="Y66" s="7"/>
      <c r="Z66" s="7">
        <v>66</v>
      </c>
    </row>
    <row r="67" spans="4:26" ht="28.8" x14ac:dyDescent="0.3">
      <c r="D67" s="1">
        <v>1994</v>
      </c>
      <c r="E67" s="1">
        <v>9</v>
      </c>
      <c r="F67" s="1" t="s">
        <v>281</v>
      </c>
      <c r="G67" s="1">
        <v>25</v>
      </c>
      <c r="M67" s="8" t="s">
        <v>257</v>
      </c>
      <c r="N67" s="7"/>
      <c r="O67" s="7"/>
      <c r="P67" s="7"/>
      <c r="Q67" s="7"/>
      <c r="R67" s="7"/>
      <c r="S67" s="7"/>
      <c r="T67" s="7"/>
      <c r="U67" s="7">
        <v>30</v>
      </c>
      <c r="V67" s="7"/>
      <c r="W67" s="7"/>
      <c r="X67" s="7">
        <v>10</v>
      </c>
      <c r="Y67" s="7">
        <v>5</v>
      </c>
      <c r="Z67" s="7">
        <v>45</v>
      </c>
    </row>
    <row r="68" spans="4:26" ht="43.2" x14ac:dyDescent="0.3">
      <c r="D68" s="1">
        <v>1994</v>
      </c>
      <c r="E68" s="1">
        <v>9</v>
      </c>
      <c r="F68" s="1" t="s">
        <v>218</v>
      </c>
      <c r="G68" s="1">
        <v>21</v>
      </c>
      <c r="M68" s="8" t="s">
        <v>273</v>
      </c>
      <c r="N68" s="7"/>
      <c r="O68" s="7"/>
      <c r="P68" s="7"/>
      <c r="Q68" s="7"/>
      <c r="R68" s="7"/>
      <c r="S68" s="7"/>
      <c r="T68" s="7"/>
      <c r="U68" s="7"/>
      <c r="V68" s="7">
        <v>15</v>
      </c>
      <c r="W68" s="7"/>
      <c r="X68" s="7">
        <v>30</v>
      </c>
      <c r="Y68" s="7"/>
      <c r="Z68" s="7">
        <v>45</v>
      </c>
    </row>
    <row r="69" spans="4:26" ht="28.8" x14ac:dyDescent="0.3">
      <c r="D69" s="1">
        <v>1994</v>
      </c>
      <c r="E69" s="1">
        <v>9</v>
      </c>
      <c r="F69" s="1" t="s">
        <v>235</v>
      </c>
      <c r="G69" s="1">
        <v>20</v>
      </c>
      <c r="M69" s="8" t="s">
        <v>248</v>
      </c>
      <c r="N69" s="7"/>
      <c r="O69" s="7"/>
      <c r="P69" s="7"/>
      <c r="Q69" s="7"/>
      <c r="R69" s="7"/>
      <c r="S69" s="7"/>
      <c r="T69" s="7"/>
      <c r="U69" s="7">
        <v>20</v>
      </c>
      <c r="V69" s="7">
        <v>104</v>
      </c>
      <c r="W69" s="7"/>
      <c r="X69" s="7">
        <v>80</v>
      </c>
      <c r="Y69" s="7"/>
      <c r="Z69" s="7">
        <v>204</v>
      </c>
    </row>
    <row r="70" spans="4:26" ht="43.2" x14ac:dyDescent="0.3">
      <c r="D70" s="1">
        <v>1994</v>
      </c>
      <c r="E70" s="1">
        <v>9</v>
      </c>
      <c r="F70" s="1" t="s">
        <v>225</v>
      </c>
      <c r="G70" s="1">
        <v>20</v>
      </c>
      <c r="M70" s="8" t="s">
        <v>220</v>
      </c>
      <c r="N70" s="7"/>
      <c r="O70" s="7"/>
      <c r="P70" s="7"/>
      <c r="Q70" s="7"/>
      <c r="R70" s="7"/>
      <c r="S70" s="7"/>
      <c r="T70" s="7"/>
      <c r="U70" s="7">
        <v>15</v>
      </c>
      <c r="V70" s="7">
        <v>52</v>
      </c>
      <c r="W70" s="7">
        <v>125</v>
      </c>
      <c r="X70" s="7">
        <v>28</v>
      </c>
      <c r="Y70" s="7"/>
      <c r="Z70" s="7">
        <v>220</v>
      </c>
    </row>
    <row r="71" spans="4:26" ht="28.8" x14ac:dyDescent="0.3">
      <c r="D71" s="1">
        <v>1994</v>
      </c>
      <c r="E71" s="1">
        <v>9</v>
      </c>
      <c r="F71" s="1" t="s">
        <v>236</v>
      </c>
      <c r="G71" s="1">
        <v>20</v>
      </c>
      <c r="M71" s="8" t="s">
        <v>272</v>
      </c>
      <c r="N71" s="7"/>
      <c r="O71" s="7"/>
      <c r="P71" s="7"/>
      <c r="Q71" s="7"/>
      <c r="R71" s="7"/>
      <c r="S71" s="7"/>
      <c r="T71" s="7"/>
      <c r="U71" s="7"/>
      <c r="V71" s="7">
        <v>19</v>
      </c>
      <c r="W71" s="7">
        <v>15</v>
      </c>
      <c r="X71" s="7">
        <v>10</v>
      </c>
      <c r="Y71" s="7">
        <v>80</v>
      </c>
      <c r="Z71" s="7">
        <v>124</v>
      </c>
    </row>
    <row r="72" spans="4:26" ht="28.8" x14ac:dyDescent="0.3">
      <c r="D72" s="1">
        <v>1994</v>
      </c>
      <c r="E72" s="1">
        <v>9</v>
      </c>
      <c r="F72" s="1" t="s">
        <v>290</v>
      </c>
      <c r="G72" s="1">
        <v>20</v>
      </c>
      <c r="M72" s="8" t="s">
        <v>217</v>
      </c>
      <c r="N72" s="7"/>
      <c r="O72" s="7"/>
      <c r="P72" s="7"/>
      <c r="Q72" s="7"/>
      <c r="R72" s="7"/>
      <c r="S72" s="7"/>
      <c r="T72" s="7"/>
      <c r="U72" s="7">
        <v>10</v>
      </c>
      <c r="V72" s="7">
        <v>15</v>
      </c>
      <c r="W72" s="7">
        <v>25</v>
      </c>
      <c r="X72" s="7"/>
      <c r="Y72" s="7">
        <v>39</v>
      </c>
      <c r="Z72" s="7">
        <v>89</v>
      </c>
    </row>
    <row r="73" spans="4:26" ht="28.8" x14ac:dyDescent="0.3">
      <c r="D73" s="1">
        <v>1994</v>
      </c>
      <c r="E73" s="1">
        <v>9</v>
      </c>
      <c r="F73" s="1" t="s">
        <v>270</v>
      </c>
      <c r="G73" s="1">
        <v>20</v>
      </c>
      <c r="M73" s="8" t="s">
        <v>266</v>
      </c>
      <c r="N73" s="7"/>
      <c r="O73" s="7"/>
      <c r="P73" s="7"/>
      <c r="Q73" s="7"/>
      <c r="R73" s="7"/>
      <c r="S73" s="7"/>
      <c r="T73" s="7"/>
      <c r="U73" s="7">
        <v>9</v>
      </c>
      <c r="V73" s="7"/>
      <c r="W73" s="7"/>
      <c r="X73" s="7">
        <v>19</v>
      </c>
      <c r="Y73" s="7"/>
      <c r="Z73" s="7">
        <v>28</v>
      </c>
    </row>
    <row r="74" spans="4:26" ht="57.6" x14ac:dyDescent="0.3">
      <c r="D74" s="1">
        <v>1994</v>
      </c>
      <c r="E74" s="1">
        <v>9</v>
      </c>
      <c r="F74" s="1" t="s">
        <v>274</v>
      </c>
      <c r="G74" s="1">
        <v>20</v>
      </c>
      <c r="M74" s="8" t="s">
        <v>276</v>
      </c>
      <c r="N74" s="7"/>
      <c r="O74" s="7"/>
      <c r="P74" s="7"/>
      <c r="Q74" s="7"/>
      <c r="R74" s="7"/>
      <c r="S74" s="7"/>
      <c r="T74" s="7"/>
      <c r="U74" s="7"/>
      <c r="V74" s="7">
        <v>10</v>
      </c>
      <c r="W74" s="7">
        <v>5</v>
      </c>
      <c r="X74" s="7">
        <v>15</v>
      </c>
      <c r="Y74" s="7">
        <v>114</v>
      </c>
      <c r="Z74" s="7">
        <v>144</v>
      </c>
    </row>
    <row r="75" spans="4:26" ht="43.2" x14ac:dyDescent="0.3">
      <c r="D75" s="1">
        <v>1994</v>
      </c>
      <c r="E75" s="1">
        <v>9</v>
      </c>
      <c r="F75" s="1" t="s">
        <v>272</v>
      </c>
      <c r="G75" s="1">
        <v>19</v>
      </c>
      <c r="M75" s="8" t="s">
        <v>277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>
        <v>40</v>
      </c>
      <c r="Y75" s="7">
        <v>25</v>
      </c>
      <c r="Z75" s="7">
        <v>65</v>
      </c>
    </row>
    <row r="76" spans="4:26" ht="43.2" x14ac:dyDescent="0.3">
      <c r="D76" s="1">
        <v>1994</v>
      </c>
      <c r="E76" s="1">
        <v>9</v>
      </c>
      <c r="F76" s="1" t="s">
        <v>244</v>
      </c>
      <c r="G76" s="1">
        <v>15</v>
      </c>
      <c r="M76" s="8" t="s">
        <v>231</v>
      </c>
      <c r="N76" s="7"/>
      <c r="O76" s="7"/>
      <c r="P76" s="7"/>
      <c r="Q76" s="7"/>
      <c r="R76" s="7"/>
      <c r="S76" s="7"/>
      <c r="T76" s="7"/>
      <c r="U76" s="7">
        <v>15</v>
      </c>
      <c r="V76" s="7"/>
      <c r="W76" s="7"/>
      <c r="X76" s="7"/>
      <c r="Y76" s="7"/>
      <c r="Z76" s="7">
        <v>15</v>
      </c>
    </row>
    <row r="77" spans="4:26" x14ac:dyDescent="0.3">
      <c r="D77" s="1">
        <v>1994</v>
      </c>
      <c r="E77" s="1">
        <v>9</v>
      </c>
      <c r="F77" s="1" t="s">
        <v>273</v>
      </c>
      <c r="G77" s="1">
        <v>15</v>
      </c>
      <c r="M77" s="8" t="s">
        <v>284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>
        <v>15</v>
      </c>
      <c r="Z77" s="7">
        <v>15</v>
      </c>
    </row>
    <row r="78" spans="4:26" x14ac:dyDescent="0.3">
      <c r="D78" s="1">
        <v>1994</v>
      </c>
      <c r="E78" s="1">
        <v>9</v>
      </c>
      <c r="F78" s="1" t="s">
        <v>258</v>
      </c>
      <c r="G78" s="1">
        <v>15</v>
      </c>
      <c r="M78" s="8" t="s">
        <v>240</v>
      </c>
      <c r="N78" s="7"/>
      <c r="O78" s="7"/>
      <c r="P78" s="7"/>
      <c r="Q78" s="7"/>
      <c r="R78" s="7"/>
      <c r="S78" s="7"/>
      <c r="T78" s="7"/>
      <c r="U78" s="7"/>
      <c r="V78" s="7">
        <v>13</v>
      </c>
      <c r="W78" s="7"/>
      <c r="X78" s="7">
        <v>80</v>
      </c>
      <c r="Y78" s="7"/>
      <c r="Z78" s="7">
        <v>93</v>
      </c>
    </row>
    <row r="79" spans="4:26" ht="57.6" x14ac:dyDescent="0.3">
      <c r="D79" s="1">
        <v>1994</v>
      </c>
      <c r="E79" s="1">
        <v>9</v>
      </c>
      <c r="F79" s="1" t="s">
        <v>217</v>
      </c>
      <c r="G79" s="1">
        <v>15</v>
      </c>
      <c r="M79" s="8" t="s">
        <v>230</v>
      </c>
      <c r="N79" s="7"/>
      <c r="O79" s="7"/>
      <c r="P79" s="7"/>
      <c r="Q79" s="7"/>
      <c r="R79" s="7"/>
      <c r="S79" s="7"/>
      <c r="T79" s="7"/>
      <c r="U79" s="7"/>
      <c r="V79" s="7">
        <v>9</v>
      </c>
      <c r="W79" s="7"/>
      <c r="X79" s="7"/>
      <c r="Y79" s="7">
        <v>85</v>
      </c>
      <c r="Z79" s="7">
        <v>94</v>
      </c>
    </row>
    <row r="80" spans="4:26" ht="28.8" x14ac:dyDescent="0.3">
      <c r="D80" s="1">
        <v>1994</v>
      </c>
      <c r="E80" s="1">
        <v>9</v>
      </c>
      <c r="F80" s="1" t="s">
        <v>240</v>
      </c>
      <c r="G80" s="1">
        <v>13</v>
      </c>
      <c r="M80" s="8" t="s">
        <v>280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>
        <v>16</v>
      </c>
      <c r="Y80" s="7"/>
      <c r="Z80" s="7">
        <v>16</v>
      </c>
    </row>
    <row r="81" spans="4:26" ht="28.8" x14ac:dyDescent="0.3">
      <c r="D81" s="1">
        <v>1994</v>
      </c>
      <c r="E81" s="1">
        <v>9</v>
      </c>
      <c r="F81" s="1" t="s">
        <v>224</v>
      </c>
      <c r="G81" s="1">
        <v>12</v>
      </c>
      <c r="M81" s="6">
        <v>1995</v>
      </c>
      <c r="N81" s="7">
        <v>2200</v>
      </c>
      <c r="O81" s="7">
        <v>1951</v>
      </c>
      <c r="P81" s="7">
        <v>2582</v>
      </c>
      <c r="Q81" s="7">
        <v>1622</v>
      </c>
      <c r="R81" s="7">
        <v>2060</v>
      </c>
      <c r="S81" s="7">
        <v>2164</v>
      </c>
      <c r="T81" s="7">
        <v>1635</v>
      </c>
      <c r="U81" s="7">
        <v>2054</v>
      </c>
      <c r="V81" s="7">
        <v>1861</v>
      </c>
      <c r="W81" s="7">
        <v>2343</v>
      </c>
      <c r="X81" s="7">
        <v>2657</v>
      </c>
      <c r="Y81" s="7">
        <v>1878</v>
      </c>
      <c r="Z81" s="7">
        <v>25007</v>
      </c>
    </row>
    <row r="82" spans="4:26" ht="28.8" x14ac:dyDescent="0.3">
      <c r="D82" s="1">
        <v>1994</v>
      </c>
      <c r="E82" s="1">
        <v>9</v>
      </c>
      <c r="F82" s="1" t="s">
        <v>276</v>
      </c>
      <c r="G82" s="1">
        <v>10</v>
      </c>
      <c r="M82" s="8" t="s">
        <v>223</v>
      </c>
      <c r="N82" s="7"/>
      <c r="O82" s="7">
        <v>2</v>
      </c>
      <c r="P82" s="7">
        <v>105</v>
      </c>
      <c r="Q82" s="7"/>
      <c r="R82" s="7"/>
      <c r="S82" s="7">
        <v>73</v>
      </c>
      <c r="T82" s="7">
        <v>34</v>
      </c>
      <c r="U82" s="7">
        <v>100</v>
      </c>
      <c r="V82" s="7"/>
      <c r="W82" s="7">
        <v>30</v>
      </c>
      <c r="X82" s="7">
        <v>55</v>
      </c>
      <c r="Y82" s="7">
        <v>20</v>
      </c>
      <c r="Z82" s="7">
        <v>419</v>
      </c>
    </row>
    <row r="83" spans="4:26" ht="72" x14ac:dyDescent="0.3">
      <c r="D83" s="1">
        <v>1994</v>
      </c>
      <c r="E83" s="1">
        <v>9</v>
      </c>
      <c r="F83" s="1" t="s">
        <v>256</v>
      </c>
      <c r="G83" s="1">
        <v>10</v>
      </c>
      <c r="M83" s="8" t="s">
        <v>286</v>
      </c>
      <c r="N83" s="7"/>
      <c r="O83" s="7">
        <v>50</v>
      </c>
      <c r="P83" s="7"/>
      <c r="Q83" s="7">
        <v>20</v>
      </c>
      <c r="R83" s="7"/>
      <c r="S83" s="7">
        <v>60</v>
      </c>
      <c r="T83" s="7"/>
      <c r="U83" s="7">
        <v>14</v>
      </c>
      <c r="V83" s="7"/>
      <c r="W83" s="7"/>
      <c r="X83" s="7">
        <v>6</v>
      </c>
      <c r="Y83" s="7">
        <v>20</v>
      </c>
      <c r="Z83" s="7">
        <v>170</v>
      </c>
    </row>
    <row r="84" spans="4:26" ht="57.6" x14ac:dyDescent="0.3">
      <c r="D84" s="1">
        <v>1994</v>
      </c>
      <c r="E84" s="1">
        <v>9</v>
      </c>
      <c r="F84" s="1" t="s">
        <v>230</v>
      </c>
      <c r="G84" s="1">
        <v>9</v>
      </c>
      <c r="M84" s="8" t="s">
        <v>237</v>
      </c>
      <c r="N84" s="7"/>
      <c r="O84" s="7">
        <v>2</v>
      </c>
      <c r="P84" s="7">
        <v>70</v>
      </c>
      <c r="Q84" s="7">
        <v>61</v>
      </c>
      <c r="R84" s="7">
        <v>30</v>
      </c>
      <c r="S84" s="7">
        <v>35</v>
      </c>
      <c r="T84" s="7">
        <v>52</v>
      </c>
      <c r="U84" s="7">
        <v>42</v>
      </c>
      <c r="V84" s="7">
        <v>60</v>
      </c>
      <c r="W84" s="7">
        <v>144</v>
      </c>
      <c r="X84" s="7"/>
      <c r="Y84" s="7">
        <v>99</v>
      </c>
      <c r="Z84" s="7">
        <v>595</v>
      </c>
    </row>
    <row r="85" spans="4:26" ht="43.2" x14ac:dyDescent="0.3">
      <c r="D85" s="1">
        <v>1994</v>
      </c>
      <c r="E85" s="1">
        <v>9</v>
      </c>
      <c r="F85" s="1" t="s">
        <v>245</v>
      </c>
      <c r="G85" s="1">
        <v>6</v>
      </c>
      <c r="M85" s="8" t="s">
        <v>216</v>
      </c>
      <c r="N85" s="7">
        <v>40</v>
      </c>
      <c r="O85" s="7">
        <v>99</v>
      </c>
      <c r="P85" s="7"/>
      <c r="Q85" s="7">
        <v>30</v>
      </c>
      <c r="R85" s="7">
        <v>15</v>
      </c>
      <c r="S85" s="7">
        <v>34</v>
      </c>
      <c r="T85" s="7"/>
      <c r="U85" s="7">
        <v>15</v>
      </c>
      <c r="V85" s="7"/>
      <c r="W85" s="7">
        <v>15</v>
      </c>
      <c r="X85" s="7"/>
      <c r="Y85" s="7"/>
      <c r="Z85" s="7">
        <v>248</v>
      </c>
    </row>
    <row r="86" spans="4:26" ht="43.2" x14ac:dyDescent="0.3">
      <c r="D86" s="1">
        <v>1994</v>
      </c>
      <c r="E86" s="1">
        <v>9</v>
      </c>
      <c r="F86" s="1" t="s">
        <v>289</v>
      </c>
      <c r="G86" s="1">
        <v>5</v>
      </c>
      <c r="M86" s="8" t="s">
        <v>219</v>
      </c>
      <c r="N86" s="7">
        <v>111</v>
      </c>
      <c r="O86" s="7">
        <v>60</v>
      </c>
      <c r="P86" s="7"/>
      <c r="Q86" s="7">
        <v>60</v>
      </c>
      <c r="R86" s="7">
        <v>106</v>
      </c>
      <c r="S86" s="7">
        <v>35</v>
      </c>
      <c r="T86" s="7">
        <v>24</v>
      </c>
      <c r="U86" s="7">
        <v>125</v>
      </c>
      <c r="V86" s="7">
        <v>30</v>
      </c>
      <c r="W86" s="7">
        <v>135</v>
      </c>
      <c r="X86" s="7">
        <v>10</v>
      </c>
      <c r="Y86" s="7">
        <v>65</v>
      </c>
      <c r="Z86" s="7">
        <v>761</v>
      </c>
    </row>
    <row r="87" spans="4:26" ht="43.2" x14ac:dyDescent="0.3">
      <c r="D87" s="1">
        <v>1994</v>
      </c>
      <c r="E87" s="1">
        <v>9</v>
      </c>
      <c r="F87" s="1" t="s">
        <v>260</v>
      </c>
      <c r="G87" s="1">
        <v>3</v>
      </c>
      <c r="M87" s="8" t="s">
        <v>224</v>
      </c>
      <c r="N87" s="7">
        <v>9</v>
      </c>
      <c r="O87" s="7"/>
      <c r="P87" s="7"/>
      <c r="Q87" s="7">
        <v>30</v>
      </c>
      <c r="R87" s="7">
        <v>25</v>
      </c>
      <c r="S87" s="7"/>
      <c r="T87" s="7">
        <v>18</v>
      </c>
      <c r="U87" s="7">
        <v>40</v>
      </c>
      <c r="V87" s="7">
        <v>82</v>
      </c>
      <c r="W87" s="7"/>
      <c r="X87" s="7">
        <v>12</v>
      </c>
      <c r="Y87" s="7">
        <v>45</v>
      </c>
      <c r="Z87" s="7">
        <v>261</v>
      </c>
    </row>
    <row r="88" spans="4:26" ht="28.8" x14ac:dyDescent="0.3">
      <c r="D88" s="1">
        <v>1994</v>
      </c>
      <c r="E88" s="1">
        <v>9</v>
      </c>
      <c r="F88" s="1" t="s">
        <v>267</v>
      </c>
      <c r="G88" s="1">
        <v>2</v>
      </c>
      <c r="M88" s="8" t="s">
        <v>249</v>
      </c>
      <c r="N88" s="7">
        <v>15</v>
      </c>
      <c r="O88" s="7">
        <v>34</v>
      </c>
      <c r="P88" s="7"/>
      <c r="Q88" s="7">
        <v>15</v>
      </c>
      <c r="R88" s="7">
        <v>40</v>
      </c>
      <c r="S88" s="7">
        <v>8</v>
      </c>
      <c r="T88" s="7">
        <v>10</v>
      </c>
      <c r="U88" s="7">
        <v>29</v>
      </c>
      <c r="V88" s="7">
        <v>40</v>
      </c>
      <c r="W88" s="7"/>
      <c r="X88" s="7">
        <v>70</v>
      </c>
      <c r="Y88" s="7">
        <v>58</v>
      </c>
      <c r="Z88" s="7">
        <v>319</v>
      </c>
    </row>
    <row r="89" spans="4:26" ht="43.2" x14ac:dyDescent="0.3">
      <c r="D89" s="1">
        <v>1994</v>
      </c>
      <c r="E89" s="1">
        <v>9</v>
      </c>
      <c r="F89" s="1" t="s">
        <v>222</v>
      </c>
      <c r="G89" s="1">
        <v>2</v>
      </c>
      <c r="M89" s="8" t="s">
        <v>239</v>
      </c>
      <c r="N89" s="7">
        <v>25</v>
      </c>
      <c r="O89" s="7">
        <v>60</v>
      </c>
      <c r="P89" s="7">
        <v>55</v>
      </c>
      <c r="Q89" s="7">
        <v>60</v>
      </c>
      <c r="R89" s="7">
        <v>12</v>
      </c>
      <c r="S89" s="7"/>
      <c r="T89" s="7"/>
      <c r="U89" s="7">
        <v>10</v>
      </c>
      <c r="V89" s="7">
        <v>100</v>
      </c>
      <c r="W89" s="7"/>
      <c r="X89" s="7">
        <v>38</v>
      </c>
      <c r="Y89" s="7">
        <v>15</v>
      </c>
      <c r="Z89" s="7">
        <v>375</v>
      </c>
    </row>
    <row r="90" spans="4:26" ht="28.8" x14ac:dyDescent="0.3">
      <c r="D90" s="1">
        <v>1994</v>
      </c>
      <c r="E90" s="1">
        <v>10</v>
      </c>
      <c r="F90" s="1" t="s">
        <v>220</v>
      </c>
      <c r="G90" s="1">
        <v>125</v>
      </c>
      <c r="M90" s="8" t="s">
        <v>252</v>
      </c>
      <c r="N90" s="7">
        <v>20</v>
      </c>
      <c r="O90" s="7"/>
      <c r="P90" s="7">
        <v>26</v>
      </c>
      <c r="Q90" s="7">
        <v>20</v>
      </c>
      <c r="R90" s="7">
        <v>10</v>
      </c>
      <c r="S90" s="7"/>
      <c r="T90" s="7">
        <v>10</v>
      </c>
      <c r="U90" s="7">
        <v>5</v>
      </c>
      <c r="V90" s="7">
        <v>41</v>
      </c>
      <c r="W90" s="7">
        <v>23</v>
      </c>
      <c r="X90" s="7"/>
      <c r="Y90" s="7"/>
      <c r="Z90" s="7">
        <v>155</v>
      </c>
    </row>
    <row r="91" spans="4:26" ht="28.8" x14ac:dyDescent="0.3">
      <c r="D91" s="1">
        <v>1994</v>
      </c>
      <c r="E91" s="1">
        <v>10</v>
      </c>
      <c r="F91" s="1" t="s">
        <v>252</v>
      </c>
      <c r="G91" s="1">
        <v>90</v>
      </c>
      <c r="M91" s="8" t="s">
        <v>259</v>
      </c>
      <c r="N91" s="7"/>
      <c r="O91" s="7"/>
      <c r="P91" s="7"/>
      <c r="Q91" s="7">
        <v>16</v>
      </c>
      <c r="R91" s="7">
        <v>50</v>
      </c>
      <c r="S91" s="7">
        <v>100</v>
      </c>
      <c r="T91" s="7"/>
      <c r="U91" s="7">
        <v>20</v>
      </c>
      <c r="V91" s="7">
        <v>35</v>
      </c>
      <c r="W91" s="7">
        <v>12</v>
      </c>
      <c r="X91" s="7">
        <v>6</v>
      </c>
      <c r="Y91" s="7">
        <v>25</v>
      </c>
      <c r="Z91" s="7">
        <v>264</v>
      </c>
    </row>
    <row r="92" spans="4:26" ht="28.8" x14ac:dyDescent="0.3">
      <c r="D92" s="1">
        <v>1994</v>
      </c>
      <c r="E92" s="1">
        <v>10</v>
      </c>
      <c r="F92" s="1" t="s">
        <v>227</v>
      </c>
      <c r="G92" s="1">
        <v>56</v>
      </c>
      <c r="M92" s="8" t="s">
        <v>274</v>
      </c>
      <c r="N92" s="7">
        <v>32</v>
      </c>
      <c r="O92" s="7"/>
      <c r="P92" s="7"/>
      <c r="Q92" s="7"/>
      <c r="R92" s="7"/>
      <c r="S92" s="7"/>
      <c r="T92" s="7"/>
      <c r="U92" s="7"/>
      <c r="V92" s="7">
        <v>15</v>
      </c>
      <c r="W92" s="7"/>
      <c r="X92" s="7">
        <v>4</v>
      </c>
      <c r="Y92" s="7"/>
      <c r="Z92" s="7">
        <v>51</v>
      </c>
    </row>
    <row r="93" spans="4:26" ht="28.8" x14ac:dyDescent="0.3">
      <c r="D93" s="1">
        <v>1994</v>
      </c>
      <c r="E93" s="1">
        <v>10</v>
      </c>
      <c r="F93" s="1" t="s">
        <v>254</v>
      </c>
      <c r="G93" s="1">
        <v>55</v>
      </c>
      <c r="M93" s="8" t="s">
        <v>292</v>
      </c>
      <c r="N93" s="7"/>
      <c r="O93" s="7">
        <v>70</v>
      </c>
      <c r="P93" s="7">
        <v>15</v>
      </c>
      <c r="Q93" s="7"/>
      <c r="R93" s="7">
        <v>15</v>
      </c>
      <c r="S93" s="7"/>
      <c r="T93" s="7"/>
      <c r="U93" s="7">
        <v>6</v>
      </c>
      <c r="V93" s="7"/>
      <c r="W93" s="7"/>
      <c r="X93" s="7">
        <v>24</v>
      </c>
      <c r="Y93" s="7"/>
      <c r="Z93" s="7">
        <v>130</v>
      </c>
    </row>
    <row r="94" spans="4:26" x14ac:dyDescent="0.3">
      <c r="D94" s="1">
        <v>1994</v>
      </c>
      <c r="E94" s="1">
        <v>10</v>
      </c>
      <c r="F94" s="1" t="s">
        <v>247</v>
      </c>
      <c r="G94" s="1">
        <v>52</v>
      </c>
      <c r="M94" s="8" t="s">
        <v>271</v>
      </c>
      <c r="N94" s="7">
        <v>95</v>
      </c>
      <c r="O94" s="7"/>
      <c r="P94" s="7"/>
      <c r="Q94" s="7"/>
      <c r="R94" s="7"/>
      <c r="S94" s="7">
        <v>20</v>
      </c>
      <c r="T94" s="7"/>
      <c r="U94" s="7">
        <v>30</v>
      </c>
      <c r="V94" s="7">
        <v>6</v>
      </c>
      <c r="W94" s="7">
        <v>79</v>
      </c>
      <c r="X94" s="7">
        <v>42</v>
      </c>
      <c r="Y94" s="7"/>
      <c r="Z94" s="7">
        <v>272</v>
      </c>
    </row>
    <row r="95" spans="4:26" ht="43.2" x14ac:dyDescent="0.3">
      <c r="D95" s="1">
        <v>1994</v>
      </c>
      <c r="E95" s="1">
        <v>10</v>
      </c>
      <c r="F95" s="1" t="s">
        <v>237</v>
      </c>
      <c r="G95" s="1">
        <v>50</v>
      </c>
      <c r="M95" s="8" t="s">
        <v>285</v>
      </c>
      <c r="N95" s="7">
        <v>20</v>
      </c>
      <c r="O95" s="7"/>
      <c r="P95" s="7">
        <v>35</v>
      </c>
      <c r="Q95" s="7"/>
      <c r="R95" s="7">
        <v>6</v>
      </c>
      <c r="S95" s="7"/>
      <c r="T95" s="7">
        <v>100</v>
      </c>
      <c r="U95" s="7">
        <v>28</v>
      </c>
      <c r="V95" s="7">
        <v>5</v>
      </c>
      <c r="W95" s="7">
        <v>9</v>
      </c>
      <c r="X95" s="7"/>
      <c r="Y95" s="7">
        <v>107</v>
      </c>
      <c r="Z95" s="7">
        <v>310</v>
      </c>
    </row>
    <row r="96" spans="4:26" x14ac:dyDescent="0.3">
      <c r="D96" s="1">
        <v>1994</v>
      </c>
      <c r="E96" s="1">
        <v>10</v>
      </c>
      <c r="F96" s="1" t="s">
        <v>238</v>
      </c>
      <c r="G96" s="1">
        <v>40</v>
      </c>
      <c r="M96" s="8" t="s">
        <v>235</v>
      </c>
      <c r="N96" s="7">
        <v>161</v>
      </c>
      <c r="O96" s="7">
        <v>75</v>
      </c>
      <c r="P96" s="7">
        <v>82</v>
      </c>
      <c r="Q96" s="7">
        <v>12</v>
      </c>
      <c r="R96" s="7"/>
      <c r="S96" s="7">
        <v>9</v>
      </c>
      <c r="T96" s="7"/>
      <c r="U96" s="7">
        <v>39</v>
      </c>
      <c r="V96" s="7">
        <v>65</v>
      </c>
      <c r="W96" s="7">
        <v>26</v>
      </c>
      <c r="X96" s="7">
        <v>118</v>
      </c>
      <c r="Y96" s="7"/>
      <c r="Z96" s="7">
        <v>587</v>
      </c>
    </row>
    <row r="97" spans="4:26" ht="43.2" x14ac:dyDescent="0.3">
      <c r="D97" s="1">
        <v>1994</v>
      </c>
      <c r="E97" s="1">
        <v>10</v>
      </c>
      <c r="F97" s="1" t="s">
        <v>218</v>
      </c>
      <c r="G97" s="1">
        <v>40</v>
      </c>
      <c r="M97" s="8" t="s">
        <v>291</v>
      </c>
      <c r="N97" s="7">
        <v>60</v>
      </c>
      <c r="O97" s="7">
        <v>119</v>
      </c>
      <c r="P97" s="7">
        <v>20</v>
      </c>
      <c r="Q97" s="7">
        <v>12</v>
      </c>
      <c r="R97" s="7">
        <v>16</v>
      </c>
      <c r="S97" s="7">
        <v>53</v>
      </c>
      <c r="T97" s="7">
        <v>34</v>
      </c>
      <c r="U97" s="7">
        <v>14</v>
      </c>
      <c r="V97" s="7">
        <v>20</v>
      </c>
      <c r="W97" s="7">
        <v>68</v>
      </c>
      <c r="X97" s="7"/>
      <c r="Y97" s="7"/>
      <c r="Z97" s="7">
        <v>416</v>
      </c>
    </row>
    <row r="98" spans="4:26" x14ac:dyDescent="0.3">
      <c r="D98" s="1">
        <v>1994</v>
      </c>
      <c r="E98" s="1">
        <v>10</v>
      </c>
      <c r="F98" s="1" t="s">
        <v>239</v>
      </c>
      <c r="G98" s="1">
        <v>40</v>
      </c>
      <c r="M98" s="8" t="s">
        <v>290</v>
      </c>
      <c r="N98" s="7"/>
      <c r="O98" s="7"/>
      <c r="P98" s="7"/>
      <c r="Q98" s="7"/>
      <c r="R98" s="7">
        <v>12</v>
      </c>
      <c r="S98" s="7"/>
      <c r="T98" s="7">
        <v>10</v>
      </c>
      <c r="U98" s="7">
        <v>25</v>
      </c>
      <c r="V98" s="7"/>
      <c r="W98" s="7">
        <v>50</v>
      </c>
      <c r="X98" s="7"/>
      <c r="Y98" s="7"/>
      <c r="Z98" s="7">
        <v>97</v>
      </c>
    </row>
    <row r="99" spans="4:26" ht="28.8" x14ac:dyDescent="0.3">
      <c r="D99" s="1">
        <v>1994</v>
      </c>
      <c r="E99" s="1">
        <v>10</v>
      </c>
      <c r="F99" s="1" t="s">
        <v>223</v>
      </c>
      <c r="G99" s="1">
        <v>40</v>
      </c>
      <c r="M99" s="8" t="s">
        <v>221</v>
      </c>
      <c r="N99" s="7">
        <v>38</v>
      </c>
      <c r="O99" s="7">
        <v>75</v>
      </c>
      <c r="P99" s="7">
        <v>113</v>
      </c>
      <c r="Q99" s="7">
        <v>50</v>
      </c>
      <c r="R99" s="7">
        <v>154</v>
      </c>
      <c r="S99" s="7">
        <v>30</v>
      </c>
      <c r="T99" s="7">
        <v>100</v>
      </c>
      <c r="U99" s="7">
        <v>47</v>
      </c>
      <c r="V99" s="7">
        <v>80</v>
      </c>
      <c r="W99" s="7">
        <v>57</v>
      </c>
      <c r="X99" s="7">
        <v>68</v>
      </c>
      <c r="Y99" s="7">
        <v>97</v>
      </c>
      <c r="Z99" s="7">
        <v>909</v>
      </c>
    </row>
    <row r="100" spans="4:26" ht="43.2" x14ac:dyDescent="0.3">
      <c r="D100" s="1">
        <v>1994</v>
      </c>
      <c r="E100" s="1">
        <v>10</v>
      </c>
      <c r="F100" s="1" t="s">
        <v>262</v>
      </c>
      <c r="G100" s="1">
        <v>40</v>
      </c>
      <c r="M100" s="8" t="s">
        <v>243</v>
      </c>
      <c r="N100" s="7">
        <v>164</v>
      </c>
      <c r="O100" s="7">
        <v>14</v>
      </c>
      <c r="P100" s="7">
        <v>3</v>
      </c>
      <c r="Q100" s="7">
        <v>35</v>
      </c>
      <c r="R100" s="7">
        <v>20</v>
      </c>
      <c r="S100" s="7">
        <v>135</v>
      </c>
      <c r="T100" s="7">
        <v>171</v>
      </c>
      <c r="U100" s="7"/>
      <c r="V100" s="7"/>
      <c r="W100" s="7">
        <v>48</v>
      </c>
      <c r="X100" s="7">
        <v>70</v>
      </c>
      <c r="Y100" s="7">
        <v>11</v>
      </c>
      <c r="Z100" s="7">
        <v>671</v>
      </c>
    </row>
    <row r="101" spans="4:26" ht="43.2" x14ac:dyDescent="0.3">
      <c r="D101" s="1">
        <v>1994</v>
      </c>
      <c r="E101" s="1">
        <v>10</v>
      </c>
      <c r="F101" s="1" t="s">
        <v>260</v>
      </c>
      <c r="G101" s="1">
        <v>38</v>
      </c>
      <c r="M101" s="8" t="s">
        <v>268</v>
      </c>
      <c r="N101" s="7"/>
      <c r="O101" s="7"/>
      <c r="P101" s="7"/>
      <c r="Q101" s="7"/>
      <c r="R101" s="7"/>
      <c r="S101" s="7"/>
      <c r="T101" s="7"/>
      <c r="U101" s="7"/>
      <c r="V101" s="7">
        <v>70</v>
      </c>
      <c r="W101" s="7"/>
      <c r="X101" s="7"/>
      <c r="Y101" s="7">
        <v>30</v>
      </c>
      <c r="Z101" s="7">
        <v>100</v>
      </c>
    </row>
    <row r="102" spans="4:26" ht="43.2" x14ac:dyDescent="0.3">
      <c r="D102" s="1">
        <v>1994</v>
      </c>
      <c r="E102" s="1">
        <v>10</v>
      </c>
      <c r="F102" s="1" t="s">
        <v>225</v>
      </c>
      <c r="G102" s="1">
        <v>32</v>
      </c>
      <c r="M102" s="8" t="s">
        <v>287</v>
      </c>
      <c r="N102" s="7"/>
      <c r="O102" s="7">
        <v>10</v>
      </c>
      <c r="P102" s="7"/>
      <c r="Q102" s="7"/>
      <c r="R102" s="7"/>
      <c r="S102" s="7">
        <v>18</v>
      </c>
      <c r="T102" s="7"/>
      <c r="U102" s="7"/>
      <c r="V102" s="7"/>
      <c r="W102" s="7"/>
      <c r="X102" s="7"/>
      <c r="Y102" s="7"/>
      <c r="Z102" s="7">
        <v>28</v>
      </c>
    </row>
    <row r="103" spans="4:26" ht="57.6" x14ac:dyDescent="0.3">
      <c r="D103" s="1">
        <v>1994</v>
      </c>
      <c r="E103" s="1">
        <v>10</v>
      </c>
      <c r="F103" s="1" t="s">
        <v>283</v>
      </c>
      <c r="G103" s="1">
        <v>30</v>
      </c>
      <c r="M103" s="8" t="s">
        <v>278</v>
      </c>
      <c r="N103" s="7">
        <v>30</v>
      </c>
      <c r="O103" s="7"/>
      <c r="P103" s="7">
        <v>20</v>
      </c>
      <c r="Q103" s="7">
        <v>133</v>
      </c>
      <c r="R103" s="7">
        <v>37</v>
      </c>
      <c r="S103" s="7">
        <v>35</v>
      </c>
      <c r="T103" s="7">
        <v>43</v>
      </c>
      <c r="U103" s="7">
        <v>35</v>
      </c>
      <c r="V103" s="7">
        <v>23</v>
      </c>
      <c r="W103" s="7"/>
      <c r="X103" s="7">
        <v>55</v>
      </c>
      <c r="Y103" s="7"/>
      <c r="Z103" s="7">
        <v>411</v>
      </c>
    </row>
    <row r="104" spans="4:26" ht="57.6" x14ac:dyDescent="0.3">
      <c r="D104" s="1">
        <v>1994</v>
      </c>
      <c r="E104" s="1">
        <v>10</v>
      </c>
      <c r="F104" s="1" t="s">
        <v>246</v>
      </c>
      <c r="G104" s="1">
        <v>30</v>
      </c>
      <c r="M104" s="8" t="s">
        <v>228</v>
      </c>
      <c r="N104" s="7">
        <v>58</v>
      </c>
      <c r="O104" s="7">
        <v>35</v>
      </c>
      <c r="P104" s="7"/>
      <c r="Q104" s="7"/>
      <c r="R104" s="7">
        <v>10</v>
      </c>
      <c r="S104" s="7">
        <v>28</v>
      </c>
      <c r="T104" s="7">
        <v>10</v>
      </c>
      <c r="U104" s="7">
        <v>85</v>
      </c>
      <c r="V104" s="7">
        <v>20</v>
      </c>
      <c r="W104" s="7">
        <v>45</v>
      </c>
      <c r="X104" s="7">
        <v>55</v>
      </c>
      <c r="Y104" s="7">
        <v>118</v>
      </c>
      <c r="Z104" s="7">
        <v>464</v>
      </c>
    </row>
    <row r="105" spans="4:26" x14ac:dyDescent="0.3">
      <c r="D105" s="1">
        <v>1994</v>
      </c>
      <c r="E105" s="1">
        <v>10</v>
      </c>
      <c r="F105" s="1" t="s">
        <v>258</v>
      </c>
      <c r="G105" s="1">
        <v>30</v>
      </c>
      <c r="M105" s="8" t="s">
        <v>255</v>
      </c>
      <c r="N105" s="7"/>
      <c r="O105" s="7">
        <v>40</v>
      </c>
      <c r="P105" s="7">
        <v>100</v>
      </c>
      <c r="Q105" s="7">
        <v>2</v>
      </c>
      <c r="R105" s="7">
        <v>24</v>
      </c>
      <c r="S105" s="7">
        <v>40</v>
      </c>
      <c r="T105" s="7">
        <v>31</v>
      </c>
      <c r="U105" s="7"/>
      <c r="V105" s="7">
        <v>10</v>
      </c>
      <c r="W105" s="7">
        <v>49</v>
      </c>
      <c r="X105" s="7">
        <v>74</v>
      </c>
      <c r="Y105" s="7">
        <v>16</v>
      </c>
      <c r="Z105" s="7">
        <v>386</v>
      </c>
    </row>
    <row r="106" spans="4:26" ht="28.8" x14ac:dyDescent="0.3">
      <c r="D106" s="1">
        <v>1994</v>
      </c>
      <c r="E106" s="1">
        <v>10</v>
      </c>
      <c r="F106" s="1" t="s">
        <v>234</v>
      </c>
      <c r="G106" s="1">
        <v>30</v>
      </c>
      <c r="M106" s="8" t="s">
        <v>233</v>
      </c>
      <c r="N106" s="7">
        <v>70</v>
      </c>
      <c r="O106" s="7">
        <v>62</v>
      </c>
      <c r="P106" s="7">
        <v>61</v>
      </c>
      <c r="Q106" s="7">
        <v>30</v>
      </c>
      <c r="R106" s="7"/>
      <c r="S106" s="7">
        <v>40</v>
      </c>
      <c r="T106" s="7"/>
      <c r="U106" s="7">
        <v>11</v>
      </c>
      <c r="V106" s="7">
        <v>35</v>
      </c>
      <c r="W106" s="7">
        <v>45</v>
      </c>
      <c r="X106" s="7">
        <v>45</v>
      </c>
      <c r="Y106" s="7">
        <v>32</v>
      </c>
      <c r="Z106" s="7">
        <v>431</v>
      </c>
    </row>
    <row r="107" spans="4:26" ht="72" x14ac:dyDescent="0.3">
      <c r="D107" s="1">
        <v>1994</v>
      </c>
      <c r="E107" s="1">
        <v>10</v>
      </c>
      <c r="F107" s="1" t="s">
        <v>268</v>
      </c>
      <c r="G107" s="1">
        <v>30</v>
      </c>
      <c r="M107" s="8" t="s">
        <v>269</v>
      </c>
      <c r="N107" s="7"/>
      <c r="O107" s="7"/>
      <c r="P107" s="7">
        <v>12</v>
      </c>
      <c r="Q107" s="7"/>
      <c r="R107" s="7"/>
      <c r="S107" s="7">
        <v>24</v>
      </c>
      <c r="T107" s="7"/>
      <c r="U107" s="7">
        <v>48</v>
      </c>
      <c r="V107" s="7">
        <v>95</v>
      </c>
      <c r="W107" s="7">
        <v>20</v>
      </c>
      <c r="X107" s="7"/>
      <c r="Y107" s="7"/>
      <c r="Z107" s="7">
        <v>199</v>
      </c>
    </row>
    <row r="108" spans="4:26" ht="57.6" x14ac:dyDescent="0.3">
      <c r="D108" s="1">
        <v>1994</v>
      </c>
      <c r="E108" s="1">
        <v>10</v>
      </c>
      <c r="F108" s="1" t="s">
        <v>271</v>
      </c>
      <c r="G108" s="1">
        <v>30</v>
      </c>
      <c r="M108" s="8" t="s">
        <v>232</v>
      </c>
      <c r="N108" s="7">
        <v>16</v>
      </c>
      <c r="O108" s="7"/>
      <c r="P108" s="7">
        <v>34</v>
      </c>
      <c r="Q108" s="7">
        <v>20</v>
      </c>
      <c r="R108" s="7">
        <v>16</v>
      </c>
      <c r="S108" s="7">
        <v>2</v>
      </c>
      <c r="T108" s="7">
        <v>5</v>
      </c>
      <c r="U108" s="7">
        <v>80</v>
      </c>
      <c r="V108" s="7">
        <v>18</v>
      </c>
      <c r="W108" s="7">
        <v>46</v>
      </c>
      <c r="X108" s="7">
        <v>73</v>
      </c>
      <c r="Y108" s="7"/>
      <c r="Z108" s="7">
        <v>310</v>
      </c>
    </row>
    <row r="109" spans="4:26" ht="57.6" x14ac:dyDescent="0.3">
      <c r="D109" s="1">
        <v>1994</v>
      </c>
      <c r="E109" s="1">
        <v>10</v>
      </c>
      <c r="F109" s="1" t="s">
        <v>217</v>
      </c>
      <c r="G109" s="1">
        <v>25</v>
      </c>
      <c r="M109" s="8" t="s">
        <v>247</v>
      </c>
      <c r="N109" s="7">
        <v>6</v>
      </c>
      <c r="O109" s="7">
        <v>5</v>
      </c>
      <c r="P109" s="7"/>
      <c r="Q109" s="7"/>
      <c r="R109" s="7"/>
      <c r="S109" s="7">
        <v>120</v>
      </c>
      <c r="T109" s="7">
        <v>25</v>
      </c>
      <c r="U109" s="7">
        <v>76</v>
      </c>
      <c r="V109" s="7">
        <v>15</v>
      </c>
      <c r="W109" s="7">
        <v>36</v>
      </c>
      <c r="X109" s="7">
        <v>45</v>
      </c>
      <c r="Y109" s="7">
        <v>26</v>
      </c>
      <c r="Z109" s="7">
        <v>354</v>
      </c>
    </row>
    <row r="110" spans="4:26" ht="28.8" x14ac:dyDescent="0.3">
      <c r="D110" s="1">
        <v>1994</v>
      </c>
      <c r="E110" s="1">
        <v>10</v>
      </c>
      <c r="F110" s="1" t="s">
        <v>224</v>
      </c>
      <c r="G110" s="1">
        <v>25</v>
      </c>
      <c r="M110" s="8" t="s">
        <v>227</v>
      </c>
      <c r="N110" s="7"/>
      <c r="O110" s="7"/>
      <c r="P110" s="7">
        <v>20</v>
      </c>
      <c r="Q110" s="7">
        <v>18</v>
      </c>
      <c r="R110" s="7">
        <v>15</v>
      </c>
      <c r="S110" s="7">
        <v>85</v>
      </c>
      <c r="T110" s="7"/>
      <c r="U110" s="7"/>
      <c r="V110" s="7">
        <v>20</v>
      </c>
      <c r="W110" s="7">
        <v>6</v>
      </c>
      <c r="X110" s="7">
        <v>64</v>
      </c>
      <c r="Y110" s="7"/>
      <c r="Z110" s="7">
        <v>228</v>
      </c>
    </row>
    <row r="111" spans="4:26" ht="43.2" x14ac:dyDescent="0.3">
      <c r="D111" s="1">
        <v>1994</v>
      </c>
      <c r="E111" s="1">
        <v>10</v>
      </c>
      <c r="F111" s="1" t="s">
        <v>221</v>
      </c>
      <c r="G111" s="1">
        <v>24</v>
      </c>
      <c r="M111" s="8" t="s">
        <v>263</v>
      </c>
      <c r="N111" s="7">
        <v>8</v>
      </c>
      <c r="O111" s="7">
        <v>25</v>
      </c>
      <c r="P111" s="7">
        <v>30</v>
      </c>
      <c r="Q111" s="7"/>
      <c r="R111" s="7">
        <v>110</v>
      </c>
      <c r="S111" s="7">
        <v>20</v>
      </c>
      <c r="T111" s="7">
        <v>21</v>
      </c>
      <c r="U111" s="7"/>
      <c r="V111" s="7"/>
      <c r="W111" s="7">
        <v>168</v>
      </c>
      <c r="X111" s="7">
        <v>42</v>
      </c>
      <c r="Y111" s="7">
        <v>59</v>
      </c>
      <c r="Z111" s="7">
        <v>483</v>
      </c>
    </row>
    <row r="112" spans="4:26" ht="28.8" x14ac:dyDescent="0.3">
      <c r="D112" s="1">
        <v>1994</v>
      </c>
      <c r="E112" s="1">
        <v>10</v>
      </c>
      <c r="F112" s="1" t="s">
        <v>228</v>
      </c>
      <c r="G112" s="1">
        <v>23</v>
      </c>
      <c r="M112" s="8" t="s">
        <v>275</v>
      </c>
      <c r="N112" s="7">
        <v>48</v>
      </c>
      <c r="O112" s="7">
        <v>2</v>
      </c>
      <c r="P112" s="7"/>
      <c r="Q112" s="7">
        <v>1</v>
      </c>
      <c r="R112" s="7">
        <v>10</v>
      </c>
      <c r="S112" s="7">
        <v>18</v>
      </c>
      <c r="T112" s="7"/>
      <c r="U112" s="7">
        <v>68</v>
      </c>
      <c r="V112" s="7">
        <v>13</v>
      </c>
      <c r="W112" s="7"/>
      <c r="X112" s="7"/>
      <c r="Y112" s="7">
        <v>10</v>
      </c>
      <c r="Z112" s="7">
        <v>170</v>
      </c>
    </row>
    <row r="113" spans="4:26" ht="43.2" x14ac:dyDescent="0.3">
      <c r="D113" s="1">
        <v>1994</v>
      </c>
      <c r="E113" s="1">
        <v>10</v>
      </c>
      <c r="F113" s="1" t="s">
        <v>226</v>
      </c>
      <c r="G113" s="1">
        <v>20</v>
      </c>
      <c r="M113" s="8" t="s">
        <v>241</v>
      </c>
      <c r="N113" s="7">
        <v>35</v>
      </c>
      <c r="O113" s="7">
        <v>34</v>
      </c>
      <c r="P113" s="7">
        <v>18</v>
      </c>
      <c r="Q113" s="7">
        <v>42</v>
      </c>
      <c r="R113" s="7"/>
      <c r="S113" s="7">
        <v>50</v>
      </c>
      <c r="T113" s="7">
        <v>64</v>
      </c>
      <c r="U113" s="7">
        <v>94</v>
      </c>
      <c r="V113" s="7">
        <v>35</v>
      </c>
      <c r="W113" s="7">
        <v>10</v>
      </c>
      <c r="X113" s="7">
        <v>50</v>
      </c>
      <c r="Y113" s="7">
        <v>50</v>
      </c>
      <c r="Z113" s="7">
        <v>482</v>
      </c>
    </row>
    <row r="114" spans="4:26" ht="72" x14ac:dyDescent="0.3">
      <c r="D114" s="1">
        <v>1994</v>
      </c>
      <c r="E114" s="1">
        <v>10</v>
      </c>
      <c r="F114" s="1" t="s">
        <v>259</v>
      </c>
      <c r="G114" s="1">
        <v>20</v>
      </c>
      <c r="M114" s="8" t="s">
        <v>289</v>
      </c>
      <c r="N114" s="7"/>
      <c r="O114" s="7"/>
      <c r="P114" s="7"/>
      <c r="Q114" s="7"/>
      <c r="R114" s="7">
        <v>30</v>
      </c>
      <c r="S114" s="7">
        <v>7</v>
      </c>
      <c r="T114" s="7"/>
      <c r="U114" s="7"/>
      <c r="V114" s="7"/>
      <c r="W114" s="7">
        <v>25</v>
      </c>
      <c r="X114" s="7"/>
      <c r="Y114" s="7"/>
      <c r="Z114" s="7">
        <v>62</v>
      </c>
    </row>
    <row r="115" spans="4:26" x14ac:dyDescent="0.3">
      <c r="D115" s="1">
        <v>1994</v>
      </c>
      <c r="E115" s="1">
        <v>10</v>
      </c>
      <c r="F115" s="1" t="s">
        <v>249</v>
      </c>
      <c r="G115" s="1">
        <v>20</v>
      </c>
      <c r="M115" s="8" t="s">
        <v>288</v>
      </c>
      <c r="N115" s="7">
        <v>84</v>
      </c>
      <c r="O115" s="7">
        <v>15</v>
      </c>
      <c r="P115" s="7">
        <v>30</v>
      </c>
      <c r="Q115" s="7">
        <v>16</v>
      </c>
      <c r="R115" s="7"/>
      <c r="S115" s="7"/>
      <c r="T115" s="7"/>
      <c r="U115" s="7"/>
      <c r="V115" s="7"/>
      <c r="W115" s="7"/>
      <c r="X115" s="7"/>
      <c r="Y115" s="7">
        <v>5</v>
      </c>
      <c r="Z115" s="7">
        <v>150</v>
      </c>
    </row>
    <row r="116" spans="4:26" ht="43.2" x14ac:dyDescent="0.3">
      <c r="D116" s="1">
        <v>1994</v>
      </c>
      <c r="E116" s="1">
        <v>10</v>
      </c>
      <c r="F116" s="1" t="s">
        <v>272</v>
      </c>
      <c r="G116" s="1">
        <v>15</v>
      </c>
      <c r="M116" s="8" t="s">
        <v>246</v>
      </c>
      <c r="N116" s="7">
        <v>20</v>
      </c>
      <c r="O116" s="7">
        <v>20</v>
      </c>
      <c r="P116" s="7">
        <v>63</v>
      </c>
      <c r="Q116" s="7"/>
      <c r="R116" s="7">
        <v>74</v>
      </c>
      <c r="S116" s="7">
        <v>36</v>
      </c>
      <c r="T116" s="7">
        <v>30</v>
      </c>
      <c r="U116" s="7">
        <v>12</v>
      </c>
      <c r="V116" s="7">
        <v>21</v>
      </c>
      <c r="W116" s="7">
        <v>37</v>
      </c>
      <c r="X116" s="7">
        <v>65</v>
      </c>
      <c r="Y116" s="7">
        <v>50</v>
      </c>
      <c r="Z116" s="7">
        <v>428</v>
      </c>
    </row>
    <row r="117" spans="4:26" ht="28.8" x14ac:dyDescent="0.3">
      <c r="D117" s="1">
        <v>1994</v>
      </c>
      <c r="E117" s="1">
        <v>10</v>
      </c>
      <c r="F117" s="1" t="s">
        <v>270</v>
      </c>
      <c r="G117" s="1">
        <v>14</v>
      </c>
      <c r="M117" s="8" t="s">
        <v>283</v>
      </c>
      <c r="N117" s="7"/>
      <c r="O117" s="7"/>
      <c r="P117" s="7">
        <v>60</v>
      </c>
      <c r="Q117" s="7">
        <v>60</v>
      </c>
      <c r="R117" s="7">
        <v>10</v>
      </c>
      <c r="S117" s="7">
        <v>24</v>
      </c>
      <c r="T117" s="7"/>
      <c r="U117" s="7"/>
      <c r="V117" s="7"/>
      <c r="W117" s="7">
        <v>4</v>
      </c>
      <c r="X117" s="7"/>
      <c r="Y117" s="7"/>
      <c r="Z117" s="7">
        <v>158</v>
      </c>
    </row>
    <row r="118" spans="4:26" ht="28.8" x14ac:dyDescent="0.3">
      <c r="D118" s="1">
        <v>1994</v>
      </c>
      <c r="E118" s="1">
        <v>10</v>
      </c>
      <c r="F118" s="1" t="s">
        <v>250</v>
      </c>
      <c r="G118" s="1">
        <v>12</v>
      </c>
      <c r="M118" s="8" t="s">
        <v>222</v>
      </c>
      <c r="N118" s="7">
        <v>18</v>
      </c>
      <c r="O118" s="7"/>
      <c r="P118" s="7"/>
      <c r="Q118" s="7">
        <v>46</v>
      </c>
      <c r="R118" s="7"/>
      <c r="S118" s="7">
        <v>54</v>
      </c>
      <c r="T118" s="7">
        <v>93</v>
      </c>
      <c r="U118" s="7"/>
      <c r="V118" s="7">
        <v>15</v>
      </c>
      <c r="W118" s="7">
        <v>40</v>
      </c>
      <c r="X118" s="7">
        <v>35</v>
      </c>
      <c r="Y118" s="7">
        <v>30</v>
      </c>
      <c r="Z118" s="7">
        <v>331</v>
      </c>
    </row>
    <row r="119" spans="4:26" ht="43.2" x14ac:dyDescent="0.3">
      <c r="D119" s="1">
        <v>1994</v>
      </c>
      <c r="E119" s="1">
        <v>10</v>
      </c>
      <c r="F119" s="1" t="s">
        <v>245</v>
      </c>
      <c r="G119" s="1">
        <v>10</v>
      </c>
      <c r="M119" s="8" t="s">
        <v>262</v>
      </c>
      <c r="N119" s="7"/>
      <c r="O119" s="7"/>
      <c r="P119" s="7"/>
      <c r="Q119" s="7"/>
      <c r="R119" s="7">
        <v>50</v>
      </c>
      <c r="S119" s="7">
        <v>24</v>
      </c>
      <c r="T119" s="7">
        <v>10</v>
      </c>
      <c r="U119" s="7"/>
      <c r="V119" s="7"/>
      <c r="W119" s="7"/>
      <c r="X119" s="7">
        <v>4</v>
      </c>
      <c r="Y119" s="7">
        <v>10</v>
      </c>
      <c r="Z119" s="7">
        <v>98</v>
      </c>
    </row>
    <row r="120" spans="4:26" ht="57.6" x14ac:dyDescent="0.3">
      <c r="D120" s="1">
        <v>1994</v>
      </c>
      <c r="E120" s="1">
        <v>10</v>
      </c>
      <c r="F120" s="1" t="s">
        <v>265</v>
      </c>
      <c r="G120" s="1">
        <v>10</v>
      </c>
      <c r="M120" s="8" t="s">
        <v>258</v>
      </c>
      <c r="N120" s="7"/>
      <c r="O120" s="7">
        <v>60</v>
      </c>
      <c r="P120" s="7">
        <v>21</v>
      </c>
      <c r="Q120" s="7">
        <v>24</v>
      </c>
      <c r="R120" s="7">
        <v>25</v>
      </c>
      <c r="S120" s="7">
        <v>6</v>
      </c>
      <c r="T120" s="7"/>
      <c r="U120" s="7">
        <v>43</v>
      </c>
      <c r="V120" s="7"/>
      <c r="W120" s="7"/>
      <c r="X120" s="7"/>
      <c r="Y120" s="7"/>
      <c r="Z120" s="7">
        <v>179</v>
      </c>
    </row>
    <row r="121" spans="4:26" ht="72" x14ac:dyDescent="0.3">
      <c r="D121" s="1">
        <v>1994</v>
      </c>
      <c r="E121" s="1">
        <v>10</v>
      </c>
      <c r="F121" s="1" t="s">
        <v>263</v>
      </c>
      <c r="G121" s="1">
        <v>10</v>
      </c>
      <c r="M121" s="8" t="s">
        <v>264</v>
      </c>
      <c r="N121" s="7"/>
      <c r="O121" s="7">
        <v>20</v>
      </c>
      <c r="P121" s="7"/>
      <c r="Q121" s="7"/>
      <c r="R121" s="7">
        <v>16</v>
      </c>
      <c r="S121" s="7"/>
      <c r="T121" s="7"/>
      <c r="U121" s="7"/>
      <c r="V121" s="7"/>
      <c r="W121" s="7">
        <v>50</v>
      </c>
      <c r="X121" s="7">
        <v>6</v>
      </c>
      <c r="Y121" s="7"/>
      <c r="Z121" s="7">
        <v>92</v>
      </c>
    </row>
    <row r="122" spans="4:26" ht="57.6" x14ac:dyDescent="0.3">
      <c r="D122" s="1">
        <v>1994</v>
      </c>
      <c r="E122" s="1">
        <v>10</v>
      </c>
      <c r="F122" s="1" t="s">
        <v>261</v>
      </c>
      <c r="G122" s="1">
        <v>8</v>
      </c>
      <c r="M122" s="8" t="s">
        <v>226</v>
      </c>
      <c r="N122" s="7">
        <v>87</v>
      </c>
      <c r="O122" s="7"/>
      <c r="P122" s="7">
        <v>50</v>
      </c>
      <c r="Q122" s="7"/>
      <c r="R122" s="7">
        <v>25</v>
      </c>
      <c r="S122" s="7">
        <v>55</v>
      </c>
      <c r="T122" s="7">
        <v>54</v>
      </c>
      <c r="U122" s="7">
        <v>12</v>
      </c>
      <c r="V122" s="7">
        <v>75</v>
      </c>
      <c r="W122" s="7"/>
      <c r="X122" s="7"/>
      <c r="Y122" s="7">
        <v>42</v>
      </c>
      <c r="Z122" s="7">
        <v>400</v>
      </c>
    </row>
    <row r="123" spans="4:26" ht="28.8" x14ac:dyDescent="0.3">
      <c r="D123" s="1">
        <v>1994</v>
      </c>
      <c r="E123" s="1">
        <v>10</v>
      </c>
      <c r="F123" s="1" t="s">
        <v>235</v>
      </c>
      <c r="G123" s="1">
        <v>5</v>
      </c>
      <c r="M123" s="8" t="s">
        <v>245</v>
      </c>
      <c r="N123" s="7">
        <v>18</v>
      </c>
      <c r="O123" s="7">
        <v>18</v>
      </c>
      <c r="P123" s="7">
        <v>28</v>
      </c>
      <c r="Q123" s="7">
        <v>8</v>
      </c>
      <c r="R123" s="7">
        <v>20</v>
      </c>
      <c r="S123" s="7">
        <v>35</v>
      </c>
      <c r="T123" s="7">
        <v>20</v>
      </c>
      <c r="U123" s="7"/>
      <c r="V123" s="7">
        <v>30</v>
      </c>
      <c r="W123" s="7">
        <v>2</v>
      </c>
      <c r="X123" s="7">
        <v>3</v>
      </c>
      <c r="Y123" s="7">
        <v>60</v>
      </c>
      <c r="Z123" s="7">
        <v>242</v>
      </c>
    </row>
    <row r="124" spans="4:26" ht="28.8" x14ac:dyDescent="0.3">
      <c r="D124" s="1">
        <v>1994</v>
      </c>
      <c r="E124" s="1">
        <v>10</v>
      </c>
      <c r="F124" s="1" t="s">
        <v>276</v>
      </c>
      <c r="G124" s="1">
        <v>5</v>
      </c>
      <c r="M124" s="8" t="s">
        <v>251</v>
      </c>
      <c r="N124" s="7"/>
      <c r="O124" s="7"/>
      <c r="P124" s="7"/>
      <c r="Q124" s="7"/>
      <c r="R124" s="7">
        <v>34</v>
      </c>
      <c r="S124" s="7"/>
      <c r="T124" s="7"/>
      <c r="U124" s="7"/>
      <c r="V124" s="7"/>
      <c r="W124" s="7"/>
      <c r="X124" s="7">
        <v>50</v>
      </c>
      <c r="Y124" s="7"/>
      <c r="Z124" s="7">
        <v>84</v>
      </c>
    </row>
    <row r="125" spans="4:26" ht="28.8" x14ac:dyDescent="0.3">
      <c r="D125" s="1">
        <v>1994</v>
      </c>
      <c r="E125" s="1">
        <v>11</v>
      </c>
      <c r="F125" s="1" t="s">
        <v>223</v>
      </c>
      <c r="G125" s="1">
        <v>98</v>
      </c>
      <c r="M125" s="8" t="s">
        <v>282</v>
      </c>
      <c r="N125" s="7">
        <v>7</v>
      </c>
      <c r="O125" s="7"/>
      <c r="P125" s="7"/>
      <c r="Q125" s="7">
        <v>12</v>
      </c>
      <c r="R125" s="7">
        <v>78</v>
      </c>
      <c r="S125" s="7"/>
      <c r="T125" s="7"/>
      <c r="U125" s="7"/>
      <c r="V125" s="7"/>
      <c r="W125" s="7"/>
      <c r="X125" s="7"/>
      <c r="Y125" s="7"/>
      <c r="Z125" s="7">
        <v>97</v>
      </c>
    </row>
    <row r="126" spans="4:26" ht="43.2" x14ac:dyDescent="0.3">
      <c r="D126" s="1">
        <v>1994</v>
      </c>
      <c r="E126" s="1">
        <v>11</v>
      </c>
      <c r="F126" s="1" t="s">
        <v>226</v>
      </c>
      <c r="G126" s="1">
        <v>90</v>
      </c>
      <c r="M126" s="8" t="s">
        <v>256</v>
      </c>
      <c r="N126" s="7">
        <v>14</v>
      </c>
      <c r="O126" s="7">
        <v>45</v>
      </c>
      <c r="P126" s="7">
        <v>55</v>
      </c>
      <c r="Q126" s="7">
        <v>30</v>
      </c>
      <c r="R126" s="7">
        <v>37</v>
      </c>
      <c r="S126" s="7">
        <v>10</v>
      </c>
      <c r="T126" s="7">
        <v>18</v>
      </c>
      <c r="U126" s="7">
        <v>85</v>
      </c>
      <c r="V126" s="7">
        <v>35</v>
      </c>
      <c r="W126" s="7">
        <v>70</v>
      </c>
      <c r="X126" s="7">
        <v>30</v>
      </c>
      <c r="Y126" s="7">
        <v>2</v>
      </c>
      <c r="Z126" s="7">
        <v>431</v>
      </c>
    </row>
    <row r="127" spans="4:26" ht="28.8" x14ac:dyDescent="0.3">
      <c r="D127" s="1">
        <v>1994</v>
      </c>
      <c r="E127" s="1">
        <v>11</v>
      </c>
      <c r="F127" s="1" t="s">
        <v>243</v>
      </c>
      <c r="G127" s="1">
        <v>85</v>
      </c>
      <c r="M127" s="8" t="s">
        <v>254</v>
      </c>
      <c r="N127" s="7">
        <v>60</v>
      </c>
      <c r="O127" s="7">
        <v>8</v>
      </c>
      <c r="P127" s="7">
        <v>25</v>
      </c>
      <c r="Q127" s="7">
        <v>72</v>
      </c>
      <c r="R127" s="7">
        <v>20</v>
      </c>
      <c r="S127" s="7">
        <v>7</v>
      </c>
      <c r="T127" s="7"/>
      <c r="U127" s="7">
        <v>15</v>
      </c>
      <c r="V127" s="7">
        <v>35</v>
      </c>
      <c r="W127" s="7">
        <v>40</v>
      </c>
      <c r="X127" s="7">
        <v>116</v>
      </c>
      <c r="Y127" s="7">
        <v>40</v>
      </c>
      <c r="Z127" s="7">
        <v>438</v>
      </c>
    </row>
    <row r="128" spans="4:26" ht="28.8" x14ac:dyDescent="0.3">
      <c r="D128" s="1">
        <v>1994</v>
      </c>
      <c r="E128" s="1">
        <v>11</v>
      </c>
      <c r="F128" s="1" t="s">
        <v>248</v>
      </c>
      <c r="G128" s="1">
        <v>80</v>
      </c>
      <c r="M128" s="8" t="s">
        <v>236</v>
      </c>
      <c r="N128" s="7">
        <v>135</v>
      </c>
      <c r="O128" s="7">
        <v>10</v>
      </c>
      <c r="P128" s="7">
        <v>180</v>
      </c>
      <c r="Q128" s="7">
        <v>32</v>
      </c>
      <c r="R128" s="7"/>
      <c r="S128" s="7">
        <v>14</v>
      </c>
      <c r="T128" s="7">
        <v>43</v>
      </c>
      <c r="U128" s="7">
        <v>25</v>
      </c>
      <c r="V128" s="7">
        <v>12</v>
      </c>
      <c r="W128" s="7">
        <v>4</v>
      </c>
      <c r="X128" s="7">
        <v>21</v>
      </c>
      <c r="Y128" s="7">
        <v>18</v>
      </c>
      <c r="Z128" s="7">
        <v>494</v>
      </c>
    </row>
    <row r="129" spans="4:26" ht="28.8" x14ac:dyDescent="0.3">
      <c r="D129" s="1">
        <v>1994</v>
      </c>
      <c r="E129" s="1">
        <v>11</v>
      </c>
      <c r="F129" s="1" t="s">
        <v>240</v>
      </c>
      <c r="G129" s="1">
        <v>80</v>
      </c>
      <c r="M129" s="8" t="s">
        <v>238</v>
      </c>
      <c r="N129" s="7"/>
      <c r="O129" s="7">
        <v>21</v>
      </c>
      <c r="P129" s="7">
        <v>85</v>
      </c>
      <c r="Q129" s="7">
        <v>53</v>
      </c>
      <c r="R129" s="7">
        <v>50</v>
      </c>
      <c r="S129" s="7">
        <v>84</v>
      </c>
      <c r="T129" s="7">
        <v>12</v>
      </c>
      <c r="U129" s="7">
        <v>30</v>
      </c>
      <c r="V129" s="7"/>
      <c r="W129" s="7">
        <v>93</v>
      </c>
      <c r="X129" s="7">
        <v>40</v>
      </c>
      <c r="Y129" s="7">
        <v>18</v>
      </c>
      <c r="Z129" s="7">
        <v>486</v>
      </c>
    </row>
    <row r="130" spans="4:26" ht="43.2" x14ac:dyDescent="0.3">
      <c r="D130" s="1">
        <v>1994</v>
      </c>
      <c r="E130" s="1">
        <v>11</v>
      </c>
      <c r="F130" s="1" t="s">
        <v>233</v>
      </c>
      <c r="G130" s="1">
        <v>74</v>
      </c>
      <c r="M130" s="8" t="s">
        <v>234</v>
      </c>
      <c r="N130" s="7">
        <v>130</v>
      </c>
      <c r="O130" s="7">
        <v>25</v>
      </c>
      <c r="P130" s="7">
        <v>65</v>
      </c>
      <c r="Q130" s="7">
        <v>28</v>
      </c>
      <c r="R130" s="7">
        <v>21</v>
      </c>
      <c r="S130" s="7"/>
      <c r="T130" s="7">
        <v>43</v>
      </c>
      <c r="U130" s="7"/>
      <c r="V130" s="7">
        <v>37</v>
      </c>
      <c r="W130" s="7">
        <v>10</v>
      </c>
      <c r="X130" s="7">
        <v>123</v>
      </c>
      <c r="Y130" s="7"/>
      <c r="Z130" s="7">
        <v>482</v>
      </c>
    </row>
    <row r="131" spans="4:26" ht="28.8" x14ac:dyDescent="0.3">
      <c r="D131" s="1">
        <v>1994</v>
      </c>
      <c r="E131" s="1">
        <v>11</v>
      </c>
      <c r="F131" s="1" t="s">
        <v>235</v>
      </c>
      <c r="G131" s="1">
        <v>70</v>
      </c>
      <c r="M131" s="8" t="s">
        <v>250</v>
      </c>
      <c r="N131" s="7"/>
      <c r="O131" s="7">
        <v>30</v>
      </c>
      <c r="P131" s="7">
        <v>42</v>
      </c>
      <c r="Q131" s="7">
        <v>30</v>
      </c>
      <c r="R131" s="7"/>
      <c r="S131" s="7">
        <v>93</v>
      </c>
      <c r="T131" s="7">
        <v>50</v>
      </c>
      <c r="U131" s="7">
        <v>14</v>
      </c>
      <c r="V131" s="7">
        <v>10</v>
      </c>
      <c r="W131" s="7"/>
      <c r="X131" s="7">
        <v>15</v>
      </c>
      <c r="Y131" s="7">
        <v>5</v>
      </c>
      <c r="Z131" s="7">
        <v>289</v>
      </c>
    </row>
    <row r="132" spans="4:26" ht="28.8" x14ac:dyDescent="0.3">
      <c r="D132" s="1">
        <v>1994</v>
      </c>
      <c r="E132" s="1">
        <v>11</v>
      </c>
      <c r="F132" s="1" t="s">
        <v>224</v>
      </c>
      <c r="G132" s="1">
        <v>60</v>
      </c>
      <c r="M132" s="8" t="s">
        <v>253</v>
      </c>
      <c r="N132" s="7"/>
      <c r="O132" s="7"/>
      <c r="P132" s="7">
        <v>15</v>
      </c>
      <c r="Q132" s="7"/>
      <c r="R132" s="7"/>
      <c r="S132" s="7">
        <v>45</v>
      </c>
      <c r="T132" s="7"/>
      <c r="U132" s="7"/>
      <c r="V132" s="7">
        <v>36</v>
      </c>
      <c r="W132" s="7">
        <v>100</v>
      </c>
      <c r="X132" s="7">
        <v>40</v>
      </c>
      <c r="Y132" s="7"/>
      <c r="Z132" s="7">
        <v>236</v>
      </c>
    </row>
    <row r="133" spans="4:26" x14ac:dyDescent="0.3">
      <c r="D133" s="1">
        <v>1994</v>
      </c>
      <c r="E133" s="1">
        <v>11</v>
      </c>
      <c r="F133" s="1" t="s">
        <v>247</v>
      </c>
      <c r="G133" s="1">
        <v>60</v>
      </c>
      <c r="M133" s="8" t="s">
        <v>279</v>
      </c>
      <c r="N133" s="7">
        <v>15</v>
      </c>
      <c r="O133" s="7"/>
      <c r="P133" s="7"/>
      <c r="Q133" s="7">
        <v>30</v>
      </c>
      <c r="R133" s="7">
        <v>21</v>
      </c>
      <c r="S133" s="7">
        <v>100</v>
      </c>
      <c r="T133" s="7"/>
      <c r="U133" s="7"/>
      <c r="V133" s="7">
        <v>20</v>
      </c>
      <c r="W133" s="7"/>
      <c r="X133" s="7">
        <v>110</v>
      </c>
      <c r="Y133" s="7">
        <v>84</v>
      </c>
      <c r="Z133" s="7">
        <v>380</v>
      </c>
    </row>
    <row r="134" spans="4:26" ht="43.2" x14ac:dyDescent="0.3">
      <c r="D134" s="1">
        <v>1994</v>
      </c>
      <c r="E134" s="1">
        <v>11</v>
      </c>
      <c r="F134" s="1" t="s">
        <v>218</v>
      </c>
      <c r="G134" s="1">
        <v>58</v>
      </c>
      <c r="M134" s="8" t="s">
        <v>281</v>
      </c>
      <c r="N134" s="7"/>
      <c r="O134" s="7">
        <v>20</v>
      </c>
      <c r="P134" s="7"/>
      <c r="Q134" s="7">
        <v>20</v>
      </c>
      <c r="R134" s="7"/>
      <c r="S134" s="7">
        <v>33</v>
      </c>
      <c r="T134" s="7">
        <v>3</v>
      </c>
      <c r="U134" s="7">
        <v>30</v>
      </c>
      <c r="V134" s="7">
        <v>35</v>
      </c>
      <c r="W134" s="7">
        <v>50</v>
      </c>
      <c r="X134" s="7">
        <v>50</v>
      </c>
      <c r="Y134" s="7">
        <v>15</v>
      </c>
      <c r="Z134" s="7">
        <v>256</v>
      </c>
    </row>
    <row r="135" spans="4:26" ht="43.2" x14ac:dyDescent="0.3">
      <c r="D135" s="1">
        <v>1994</v>
      </c>
      <c r="E135" s="1">
        <v>11</v>
      </c>
      <c r="F135" s="1" t="s">
        <v>245</v>
      </c>
      <c r="G135" s="1">
        <v>58</v>
      </c>
      <c r="M135" s="8" t="s">
        <v>225</v>
      </c>
      <c r="N135" s="7">
        <v>26</v>
      </c>
      <c r="O135" s="7">
        <v>42</v>
      </c>
      <c r="P135" s="7">
        <v>57</v>
      </c>
      <c r="Q135" s="7">
        <v>18</v>
      </c>
      <c r="R135" s="7">
        <v>66</v>
      </c>
      <c r="S135" s="7">
        <v>7</v>
      </c>
      <c r="T135" s="7"/>
      <c r="U135" s="7"/>
      <c r="V135" s="7">
        <v>45</v>
      </c>
      <c r="W135" s="7"/>
      <c r="X135" s="7">
        <v>60</v>
      </c>
      <c r="Y135" s="7">
        <v>25</v>
      </c>
      <c r="Z135" s="7">
        <v>346</v>
      </c>
    </row>
    <row r="136" spans="4:26" x14ac:dyDescent="0.3">
      <c r="D136" s="1">
        <v>1994</v>
      </c>
      <c r="E136" s="1">
        <v>11</v>
      </c>
      <c r="F136" s="1" t="s">
        <v>239</v>
      </c>
      <c r="G136" s="1">
        <v>56</v>
      </c>
      <c r="M136" s="8" t="s">
        <v>218</v>
      </c>
      <c r="N136" s="7">
        <v>12</v>
      </c>
      <c r="O136" s="7">
        <v>45</v>
      </c>
      <c r="P136" s="7">
        <v>106</v>
      </c>
      <c r="Q136" s="7">
        <v>102</v>
      </c>
      <c r="R136" s="7">
        <v>64</v>
      </c>
      <c r="S136" s="7">
        <v>17</v>
      </c>
      <c r="T136" s="7">
        <v>52</v>
      </c>
      <c r="U136" s="7">
        <v>85</v>
      </c>
      <c r="V136" s="7"/>
      <c r="W136" s="7">
        <v>13</v>
      </c>
      <c r="X136" s="7">
        <v>110</v>
      </c>
      <c r="Y136" s="7">
        <v>93</v>
      </c>
      <c r="Z136" s="7">
        <v>699</v>
      </c>
    </row>
    <row r="137" spans="4:26" ht="72" x14ac:dyDescent="0.3">
      <c r="D137" s="1">
        <v>1994</v>
      </c>
      <c r="E137" s="1">
        <v>11</v>
      </c>
      <c r="F137" s="1" t="s">
        <v>259</v>
      </c>
      <c r="G137" s="1">
        <v>52</v>
      </c>
      <c r="M137" s="8" t="s">
        <v>267</v>
      </c>
      <c r="N137" s="7"/>
      <c r="O137" s="7">
        <v>20</v>
      </c>
      <c r="P137" s="7">
        <v>15</v>
      </c>
      <c r="Q137" s="7"/>
      <c r="R137" s="7"/>
      <c r="S137" s="7">
        <v>5</v>
      </c>
      <c r="T137" s="7">
        <v>10</v>
      </c>
      <c r="U137" s="7">
        <v>20</v>
      </c>
      <c r="V137" s="7"/>
      <c r="W137" s="7"/>
      <c r="X137" s="7">
        <v>40</v>
      </c>
      <c r="Y137" s="7">
        <v>14</v>
      </c>
      <c r="Z137" s="7">
        <v>124</v>
      </c>
    </row>
    <row r="138" spans="4:26" ht="57.6" x14ac:dyDescent="0.3">
      <c r="D138" s="1">
        <v>1994</v>
      </c>
      <c r="E138" s="1">
        <v>11</v>
      </c>
      <c r="F138" s="1" t="s">
        <v>265</v>
      </c>
      <c r="G138" s="1">
        <v>50</v>
      </c>
      <c r="M138" s="8" t="s">
        <v>265</v>
      </c>
      <c r="N138" s="7"/>
      <c r="O138" s="7"/>
      <c r="P138" s="7">
        <v>28</v>
      </c>
      <c r="Q138" s="7">
        <v>10</v>
      </c>
      <c r="R138" s="7">
        <v>122</v>
      </c>
      <c r="S138" s="7">
        <v>30</v>
      </c>
      <c r="T138" s="7">
        <v>126</v>
      </c>
      <c r="U138" s="7">
        <v>70</v>
      </c>
      <c r="V138" s="7">
        <v>10</v>
      </c>
      <c r="W138" s="7">
        <v>55</v>
      </c>
      <c r="X138" s="7">
        <v>42</v>
      </c>
      <c r="Y138" s="7">
        <v>20</v>
      </c>
      <c r="Z138" s="7">
        <v>513</v>
      </c>
    </row>
    <row r="139" spans="4:26" ht="28.8" x14ac:dyDescent="0.3">
      <c r="D139" s="1">
        <v>1994</v>
      </c>
      <c r="E139" s="1">
        <v>11</v>
      </c>
      <c r="F139" s="1" t="s">
        <v>250</v>
      </c>
      <c r="G139" s="1">
        <v>50</v>
      </c>
      <c r="M139" s="8" t="s">
        <v>270</v>
      </c>
      <c r="N139" s="7">
        <v>10</v>
      </c>
      <c r="O139" s="7"/>
      <c r="P139" s="7">
        <v>20</v>
      </c>
      <c r="Q139" s="7">
        <v>35</v>
      </c>
      <c r="R139" s="7"/>
      <c r="S139" s="7">
        <v>10</v>
      </c>
      <c r="T139" s="7">
        <v>40</v>
      </c>
      <c r="U139" s="7"/>
      <c r="V139" s="7"/>
      <c r="W139" s="7"/>
      <c r="X139" s="7">
        <v>26</v>
      </c>
      <c r="Y139" s="7">
        <v>30</v>
      </c>
      <c r="Z139" s="7">
        <v>171</v>
      </c>
    </row>
    <row r="140" spans="4:26" ht="43.2" x14ac:dyDescent="0.3">
      <c r="D140" s="1">
        <v>1994</v>
      </c>
      <c r="E140" s="1">
        <v>11</v>
      </c>
      <c r="F140" s="1" t="s">
        <v>222</v>
      </c>
      <c r="G140" s="1">
        <v>48</v>
      </c>
      <c r="M140" s="8" t="s">
        <v>244</v>
      </c>
      <c r="N140" s="7"/>
      <c r="O140" s="7"/>
      <c r="P140" s="7">
        <v>50</v>
      </c>
      <c r="Q140" s="7"/>
      <c r="R140" s="7">
        <v>120</v>
      </c>
      <c r="S140" s="7"/>
      <c r="T140" s="7"/>
      <c r="U140" s="7">
        <v>50</v>
      </c>
      <c r="V140" s="7"/>
      <c r="W140" s="7"/>
      <c r="X140" s="7"/>
      <c r="Y140" s="7"/>
      <c r="Z140" s="7">
        <v>220</v>
      </c>
    </row>
    <row r="141" spans="4:26" ht="57.6" x14ac:dyDescent="0.3">
      <c r="D141" s="1">
        <v>1994</v>
      </c>
      <c r="E141" s="1">
        <v>11</v>
      </c>
      <c r="F141" s="1" t="s">
        <v>246</v>
      </c>
      <c r="G141" s="1">
        <v>40</v>
      </c>
      <c r="M141" s="8" t="s">
        <v>260</v>
      </c>
      <c r="N141" s="7">
        <v>68</v>
      </c>
      <c r="O141" s="7">
        <v>66</v>
      </c>
      <c r="P141" s="7">
        <v>21</v>
      </c>
      <c r="Q141" s="7"/>
      <c r="R141" s="7">
        <v>36</v>
      </c>
      <c r="S141" s="7">
        <v>55</v>
      </c>
      <c r="T141" s="7"/>
      <c r="U141" s="7"/>
      <c r="V141" s="7">
        <v>33</v>
      </c>
      <c r="W141" s="7">
        <v>10</v>
      </c>
      <c r="X141" s="7">
        <v>85</v>
      </c>
      <c r="Y141" s="7">
        <v>6</v>
      </c>
      <c r="Z141" s="7">
        <v>380</v>
      </c>
    </row>
    <row r="142" spans="4:26" ht="28.8" x14ac:dyDescent="0.3">
      <c r="D142" s="1">
        <v>1994</v>
      </c>
      <c r="E142" s="1">
        <v>11</v>
      </c>
      <c r="F142" s="1" t="s">
        <v>277</v>
      </c>
      <c r="G142" s="1">
        <v>40</v>
      </c>
      <c r="M142" s="8" t="s">
        <v>261</v>
      </c>
      <c r="N142" s="7"/>
      <c r="O142" s="7">
        <v>40</v>
      </c>
      <c r="P142" s="7"/>
      <c r="Q142" s="7">
        <v>50</v>
      </c>
      <c r="R142" s="7">
        <v>70</v>
      </c>
      <c r="S142" s="7"/>
      <c r="T142" s="7">
        <v>28</v>
      </c>
      <c r="U142" s="7">
        <v>100</v>
      </c>
      <c r="V142" s="7">
        <v>5</v>
      </c>
      <c r="W142" s="7">
        <v>96</v>
      </c>
      <c r="X142" s="7"/>
      <c r="Y142" s="7">
        <v>28</v>
      </c>
      <c r="Z142" s="7">
        <v>417</v>
      </c>
    </row>
    <row r="143" spans="4:26" ht="28.8" x14ac:dyDescent="0.3">
      <c r="D143" s="1">
        <v>1994</v>
      </c>
      <c r="E143" s="1">
        <v>11</v>
      </c>
      <c r="F143" s="1" t="s">
        <v>227</v>
      </c>
      <c r="G143" s="1">
        <v>40</v>
      </c>
      <c r="M143" s="8" t="s">
        <v>229</v>
      </c>
      <c r="N143" s="7">
        <v>40</v>
      </c>
      <c r="O143" s="7"/>
      <c r="P143" s="7"/>
      <c r="Q143" s="7"/>
      <c r="R143" s="7">
        <v>39</v>
      </c>
      <c r="S143" s="7">
        <v>15</v>
      </c>
      <c r="T143" s="7"/>
      <c r="U143" s="7">
        <v>21</v>
      </c>
      <c r="V143" s="7"/>
      <c r="W143" s="7">
        <v>21</v>
      </c>
      <c r="X143" s="7"/>
      <c r="Y143" s="7"/>
      <c r="Z143" s="7">
        <v>136</v>
      </c>
    </row>
    <row r="144" spans="4:26" ht="28.8" x14ac:dyDescent="0.3">
      <c r="D144" s="1">
        <v>1994</v>
      </c>
      <c r="E144" s="1">
        <v>11</v>
      </c>
      <c r="F144" s="1" t="s">
        <v>236</v>
      </c>
      <c r="G144" s="1">
        <v>40</v>
      </c>
      <c r="M144" s="8" t="s">
        <v>257</v>
      </c>
      <c r="N144" s="7">
        <v>10</v>
      </c>
      <c r="O144" s="7">
        <v>42</v>
      </c>
      <c r="P144" s="7">
        <v>130</v>
      </c>
      <c r="Q144" s="7">
        <v>35</v>
      </c>
      <c r="R144" s="7">
        <v>52</v>
      </c>
      <c r="S144" s="7">
        <v>21</v>
      </c>
      <c r="T144" s="7"/>
      <c r="U144" s="7">
        <v>14</v>
      </c>
      <c r="V144" s="7">
        <v>97</v>
      </c>
      <c r="W144" s="7">
        <v>72</v>
      </c>
      <c r="X144" s="7">
        <v>37</v>
      </c>
      <c r="Y144" s="7">
        <v>70</v>
      </c>
      <c r="Z144" s="7">
        <v>580</v>
      </c>
    </row>
    <row r="145" spans="4:26" ht="28.8" x14ac:dyDescent="0.3">
      <c r="D145" s="1">
        <v>1994</v>
      </c>
      <c r="E145" s="1">
        <v>11</v>
      </c>
      <c r="F145" s="1" t="s">
        <v>241</v>
      </c>
      <c r="G145" s="1">
        <v>36</v>
      </c>
      <c r="M145" s="8" t="s">
        <v>242</v>
      </c>
      <c r="N145" s="7"/>
      <c r="O145" s="7">
        <v>16</v>
      </c>
      <c r="P145" s="7">
        <v>115</v>
      </c>
      <c r="Q145" s="7"/>
      <c r="R145" s="7">
        <v>40</v>
      </c>
      <c r="S145" s="7">
        <v>30</v>
      </c>
      <c r="T145" s="7"/>
      <c r="U145" s="7">
        <v>120</v>
      </c>
      <c r="V145" s="7">
        <v>20</v>
      </c>
      <c r="W145" s="7"/>
      <c r="X145" s="7">
        <v>15</v>
      </c>
      <c r="Y145" s="7">
        <v>20</v>
      </c>
      <c r="Z145" s="7">
        <v>376</v>
      </c>
    </row>
    <row r="146" spans="4:26" ht="72" x14ac:dyDescent="0.3">
      <c r="D146" s="1">
        <v>1994</v>
      </c>
      <c r="E146" s="1">
        <v>11</v>
      </c>
      <c r="F146" s="1" t="s">
        <v>263</v>
      </c>
      <c r="G146" s="1">
        <v>32</v>
      </c>
      <c r="M146" s="8" t="s">
        <v>273</v>
      </c>
      <c r="N146" s="7">
        <v>73</v>
      </c>
      <c r="O146" s="7">
        <v>22</v>
      </c>
      <c r="P146" s="7">
        <v>35</v>
      </c>
      <c r="Q146" s="7">
        <v>5</v>
      </c>
      <c r="R146" s="7">
        <v>9</v>
      </c>
      <c r="S146" s="7"/>
      <c r="T146" s="7"/>
      <c r="U146" s="7"/>
      <c r="V146" s="7">
        <v>23</v>
      </c>
      <c r="W146" s="7">
        <v>105</v>
      </c>
      <c r="X146" s="7">
        <v>42</v>
      </c>
      <c r="Y146" s="7">
        <v>28</v>
      </c>
      <c r="Z146" s="7">
        <v>342</v>
      </c>
    </row>
    <row r="147" spans="4:26" x14ac:dyDescent="0.3">
      <c r="D147" s="1">
        <v>1994</v>
      </c>
      <c r="E147" s="1">
        <v>11</v>
      </c>
      <c r="F147" s="1" t="s">
        <v>273</v>
      </c>
      <c r="G147" s="1">
        <v>30</v>
      </c>
      <c r="M147" s="8" t="s">
        <v>248</v>
      </c>
      <c r="N147" s="7">
        <v>70</v>
      </c>
      <c r="O147" s="7">
        <v>95</v>
      </c>
      <c r="P147" s="7">
        <v>8</v>
      </c>
      <c r="Q147" s="7"/>
      <c r="R147" s="7">
        <v>3</v>
      </c>
      <c r="S147" s="7">
        <v>56</v>
      </c>
      <c r="T147" s="7">
        <v>20</v>
      </c>
      <c r="U147" s="7">
        <v>54</v>
      </c>
      <c r="V147" s="7">
        <v>30</v>
      </c>
      <c r="W147" s="7"/>
      <c r="X147" s="7">
        <v>30</v>
      </c>
      <c r="Y147" s="7">
        <v>35</v>
      </c>
      <c r="Z147" s="7">
        <v>401</v>
      </c>
    </row>
    <row r="148" spans="4:26" ht="57.6" x14ac:dyDescent="0.3">
      <c r="D148" s="1">
        <v>1994</v>
      </c>
      <c r="E148" s="1">
        <v>11</v>
      </c>
      <c r="F148" s="1" t="s">
        <v>271</v>
      </c>
      <c r="G148" s="1">
        <v>30</v>
      </c>
      <c r="M148" s="8" t="s">
        <v>220</v>
      </c>
      <c r="N148" s="7">
        <v>30</v>
      </c>
      <c r="O148" s="7">
        <v>75</v>
      </c>
      <c r="P148" s="7">
        <v>35</v>
      </c>
      <c r="Q148" s="7"/>
      <c r="R148" s="7">
        <v>3</v>
      </c>
      <c r="S148" s="7">
        <v>60</v>
      </c>
      <c r="T148" s="7">
        <v>35</v>
      </c>
      <c r="U148" s="7">
        <v>20</v>
      </c>
      <c r="V148" s="7">
        <v>95</v>
      </c>
      <c r="W148" s="7">
        <v>10</v>
      </c>
      <c r="X148" s="7">
        <v>68</v>
      </c>
      <c r="Y148" s="7">
        <v>39</v>
      </c>
      <c r="Z148" s="7">
        <v>470</v>
      </c>
    </row>
    <row r="149" spans="4:26" x14ac:dyDescent="0.3">
      <c r="D149" s="1">
        <v>1994</v>
      </c>
      <c r="E149" s="1">
        <v>11</v>
      </c>
      <c r="F149" s="1" t="s">
        <v>285</v>
      </c>
      <c r="G149" s="1">
        <v>28</v>
      </c>
      <c r="M149" s="8" t="s">
        <v>272</v>
      </c>
      <c r="N149" s="7"/>
      <c r="O149" s="7">
        <v>42</v>
      </c>
      <c r="P149" s="7">
        <v>67</v>
      </c>
      <c r="Q149" s="7">
        <v>26</v>
      </c>
      <c r="R149" s="7"/>
      <c r="S149" s="7">
        <v>10</v>
      </c>
      <c r="T149" s="7">
        <v>35</v>
      </c>
      <c r="U149" s="7"/>
      <c r="V149" s="7">
        <v>50</v>
      </c>
      <c r="W149" s="7">
        <v>49</v>
      </c>
      <c r="X149" s="7">
        <v>24</v>
      </c>
      <c r="Y149" s="7"/>
      <c r="Z149" s="7">
        <v>303</v>
      </c>
    </row>
    <row r="150" spans="4:26" ht="28.8" x14ac:dyDescent="0.3">
      <c r="D150" s="1">
        <v>1994</v>
      </c>
      <c r="E150" s="1">
        <v>11</v>
      </c>
      <c r="F150" s="1" t="s">
        <v>287</v>
      </c>
      <c r="G150" s="1">
        <v>28</v>
      </c>
      <c r="M150" s="8" t="s">
        <v>217</v>
      </c>
      <c r="N150" s="7">
        <v>34</v>
      </c>
      <c r="O150" s="7">
        <v>21</v>
      </c>
      <c r="P150" s="7">
        <v>24</v>
      </c>
      <c r="Q150" s="7">
        <v>18</v>
      </c>
      <c r="R150" s="7">
        <v>36</v>
      </c>
      <c r="S150" s="7"/>
      <c r="T150" s="7">
        <v>10</v>
      </c>
      <c r="U150" s="7"/>
      <c r="V150" s="7">
        <v>26</v>
      </c>
      <c r="W150" s="7">
        <v>46</v>
      </c>
      <c r="X150" s="7">
        <v>52</v>
      </c>
      <c r="Y150" s="7"/>
      <c r="Z150" s="7">
        <v>267</v>
      </c>
    </row>
    <row r="151" spans="4:26" ht="28.8" x14ac:dyDescent="0.3">
      <c r="D151" s="1">
        <v>1994</v>
      </c>
      <c r="E151" s="1">
        <v>11</v>
      </c>
      <c r="F151" s="1" t="s">
        <v>220</v>
      </c>
      <c r="G151" s="1">
        <v>28</v>
      </c>
      <c r="M151" s="8" t="s">
        <v>266</v>
      </c>
      <c r="N151" s="7">
        <v>57</v>
      </c>
      <c r="O151" s="7">
        <v>67</v>
      </c>
      <c r="P151" s="7"/>
      <c r="Q151" s="7">
        <v>12</v>
      </c>
      <c r="R151" s="7">
        <v>70</v>
      </c>
      <c r="S151" s="7"/>
      <c r="T151" s="7">
        <v>56</v>
      </c>
      <c r="U151" s="7"/>
      <c r="V151" s="7">
        <v>24</v>
      </c>
      <c r="W151" s="7">
        <v>33</v>
      </c>
      <c r="X151" s="7"/>
      <c r="Y151" s="7">
        <v>21</v>
      </c>
      <c r="Z151" s="7">
        <v>340</v>
      </c>
    </row>
    <row r="152" spans="4:26" x14ac:dyDescent="0.3">
      <c r="D152" s="1">
        <v>1994</v>
      </c>
      <c r="E152" s="1">
        <v>11</v>
      </c>
      <c r="F152" s="1" t="s">
        <v>238</v>
      </c>
      <c r="G152" s="1">
        <v>21</v>
      </c>
      <c r="M152" s="8" t="s">
        <v>276</v>
      </c>
      <c r="N152" s="7">
        <v>10</v>
      </c>
      <c r="O152" s="7">
        <v>6</v>
      </c>
      <c r="P152" s="7">
        <v>141</v>
      </c>
      <c r="Q152" s="7">
        <v>24</v>
      </c>
      <c r="R152" s="7">
        <v>20</v>
      </c>
      <c r="S152" s="7">
        <v>49</v>
      </c>
      <c r="T152" s="7"/>
      <c r="U152" s="7">
        <v>54</v>
      </c>
      <c r="V152" s="7">
        <v>30</v>
      </c>
      <c r="W152" s="7">
        <v>36</v>
      </c>
      <c r="X152" s="7">
        <v>115</v>
      </c>
      <c r="Y152" s="7"/>
      <c r="Z152" s="7">
        <v>485</v>
      </c>
    </row>
    <row r="153" spans="4:26" ht="43.2" x14ac:dyDescent="0.3">
      <c r="D153" s="1">
        <v>1994</v>
      </c>
      <c r="E153" s="1">
        <v>11</v>
      </c>
      <c r="F153" s="1" t="s">
        <v>260</v>
      </c>
      <c r="G153" s="1">
        <v>20</v>
      </c>
      <c r="M153" s="8" t="s">
        <v>277</v>
      </c>
      <c r="N153" s="7">
        <v>40</v>
      </c>
      <c r="O153" s="7">
        <v>60</v>
      </c>
      <c r="P153" s="7"/>
      <c r="Q153" s="7">
        <v>36</v>
      </c>
      <c r="R153" s="7">
        <v>10</v>
      </c>
      <c r="S153" s="7">
        <v>90</v>
      </c>
      <c r="T153" s="7"/>
      <c r="U153" s="7"/>
      <c r="V153" s="7">
        <v>10</v>
      </c>
      <c r="W153" s="7">
        <v>37</v>
      </c>
      <c r="X153" s="7"/>
      <c r="Y153" s="7">
        <v>44</v>
      </c>
      <c r="Z153" s="7">
        <v>327</v>
      </c>
    </row>
    <row r="154" spans="4:26" ht="28.8" x14ac:dyDescent="0.3">
      <c r="D154" s="1">
        <v>1994</v>
      </c>
      <c r="E154" s="1">
        <v>11</v>
      </c>
      <c r="F154" s="1" t="s">
        <v>216</v>
      </c>
      <c r="G154" s="1">
        <v>20</v>
      </c>
      <c r="M154" s="8" t="s">
        <v>231</v>
      </c>
      <c r="N154" s="7">
        <v>10</v>
      </c>
      <c r="O154" s="7"/>
      <c r="P154" s="7">
        <v>16</v>
      </c>
      <c r="Q154" s="7">
        <v>30</v>
      </c>
      <c r="R154" s="7">
        <v>50</v>
      </c>
      <c r="S154" s="7">
        <v>10</v>
      </c>
      <c r="T154" s="7"/>
      <c r="U154" s="7">
        <v>55</v>
      </c>
      <c r="V154" s="7">
        <v>35</v>
      </c>
      <c r="W154" s="7"/>
      <c r="X154" s="7">
        <v>90</v>
      </c>
      <c r="Y154" s="7"/>
      <c r="Z154" s="7">
        <v>296</v>
      </c>
    </row>
    <row r="155" spans="4:26" x14ac:dyDescent="0.3">
      <c r="D155" s="1">
        <v>1994</v>
      </c>
      <c r="E155" s="1">
        <v>11</v>
      </c>
      <c r="F155" s="1" t="s">
        <v>266</v>
      </c>
      <c r="G155" s="1">
        <v>19</v>
      </c>
      <c r="M155" s="8" t="s">
        <v>284</v>
      </c>
      <c r="N155" s="7">
        <v>15</v>
      </c>
      <c r="O155" s="7"/>
      <c r="P155" s="7">
        <v>40</v>
      </c>
      <c r="Q155" s="7">
        <v>25</v>
      </c>
      <c r="R155" s="7"/>
      <c r="S155" s="7"/>
      <c r="T155" s="7"/>
      <c r="U155" s="7"/>
      <c r="V155" s="7">
        <v>25</v>
      </c>
      <c r="W155" s="7"/>
      <c r="X155" s="7"/>
      <c r="Y155" s="7">
        <v>60</v>
      </c>
      <c r="Z155" s="7">
        <v>165</v>
      </c>
    </row>
    <row r="156" spans="4:26" ht="28.8" x14ac:dyDescent="0.3">
      <c r="D156" s="1">
        <v>1994</v>
      </c>
      <c r="E156" s="1">
        <v>11</v>
      </c>
      <c r="F156" s="1" t="s">
        <v>267</v>
      </c>
      <c r="G156" s="1">
        <v>16</v>
      </c>
      <c r="M156" s="8" t="s">
        <v>240</v>
      </c>
      <c r="N156" s="7">
        <v>16</v>
      </c>
      <c r="O156" s="7">
        <v>65</v>
      </c>
      <c r="P156" s="7">
        <v>35</v>
      </c>
      <c r="Q156" s="7"/>
      <c r="R156" s="7"/>
      <c r="S156" s="7"/>
      <c r="T156" s="7">
        <v>6</v>
      </c>
      <c r="U156" s="7">
        <v>24</v>
      </c>
      <c r="V156" s="7"/>
      <c r="W156" s="7"/>
      <c r="X156" s="7">
        <v>20</v>
      </c>
      <c r="Y156" s="7">
        <v>9</v>
      </c>
      <c r="Z156" s="7">
        <v>175</v>
      </c>
    </row>
    <row r="157" spans="4:26" ht="28.8" x14ac:dyDescent="0.3">
      <c r="D157" s="1">
        <v>1994</v>
      </c>
      <c r="E157" s="1">
        <v>11</v>
      </c>
      <c r="F157" s="1" t="s">
        <v>280</v>
      </c>
      <c r="G157" s="1">
        <v>16</v>
      </c>
      <c r="M157" s="8" t="s">
        <v>230</v>
      </c>
      <c r="N157" s="7">
        <v>30</v>
      </c>
      <c r="O157" s="7">
        <v>7</v>
      </c>
      <c r="P157" s="7">
        <v>71</v>
      </c>
      <c r="Q157" s="7">
        <v>38</v>
      </c>
      <c r="R157" s="7"/>
      <c r="S157" s="7"/>
      <c r="T157" s="7">
        <v>54</v>
      </c>
      <c r="U157" s="7"/>
      <c r="V157" s="7">
        <v>9</v>
      </c>
      <c r="W157" s="7">
        <v>43</v>
      </c>
      <c r="X157" s="7"/>
      <c r="Y157" s="7">
        <v>24</v>
      </c>
      <c r="Z157" s="7">
        <v>276</v>
      </c>
    </row>
    <row r="158" spans="4:26" ht="28.8" x14ac:dyDescent="0.3">
      <c r="D158" s="1">
        <v>1994</v>
      </c>
      <c r="E158" s="1">
        <v>11</v>
      </c>
      <c r="F158" s="1" t="s">
        <v>276</v>
      </c>
      <c r="G158" s="1">
        <v>15</v>
      </c>
      <c r="M158" s="8" t="s">
        <v>280</v>
      </c>
      <c r="N158" s="7"/>
      <c r="O158" s="7">
        <v>55</v>
      </c>
      <c r="P158" s="7">
        <v>30</v>
      </c>
      <c r="Q158" s="7">
        <v>30</v>
      </c>
      <c r="R158" s="7">
        <v>6</v>
      </c>
      <c r="S158" s="7"/>
      <c r="T158" s="7">
        <v>25</v>
      </c>
      <c r="U158" s="7">
        <v>15</v>
      </c>
      <c r="V158" s="7"/>
      <c r="W158" s="7">
        <v>71</v>
      </c>
      <c r="X158" s="7">
        <v>67</v>
      </c>
      <c r="Y158" s="7">
        <v>30</v>
      </c>
      <c r="Z158" s="7">
        <v>329</v>
      </c>
    </row>
    <row r="159" spans="4:26" ht="43.2" x14ac:dyDescent="0.3">
      <c r="D159" s="1">
        <v>1994</v>
      </c>
      <c r="E159" s="1">
        <v>11</v>
      </c>
      <c r="F159" s="1" t="s">
        <v>225</v>
      </c>
      <c r="G159" s="1">
        <v>14</v>
      </c>
      <c r="M159" s="6">
        <v>1996</v>
      </c>
      <c r="N159" s="7">
        <v>2682</v>
      </c>
      <c r="O159" s="7">
        <v>3293</v>
      </c>
      <c r="P159" s="7">
        <v>3288</v>
      </c>
      <c r="Q159" s="7">
        <v>1691</v>
      </c>
      <c r="R159" s="7"/>
      <c r="S159" s="7"/>
      <c r="T159" s="7"/>
      <c r="U159" s="7"/>
      <c r="V159" s="7"/>
      <c r="W159" s="7"/>
      <c r="X159" s="7"/>
      <c r="Y159" s="7"/>
      <c r="Z159" s="7">
        <v>10954</v>
      </c>
    </row>
    <row r="160" spans="4:26" x14ac:dyDescent="0.3">
      <c r="D160" s="1">
        <v>1994</v>
      </c>
      <c r="E160" s="1">
        <v>11</v>
      </c>
      <c r="F160" s="1" t="s">
        <v>275</v>
      </c>
      <c r="G160" s="1">
        <v>12</v>
      </c>
      <c r="M160" s="8" t="s">
        <v>223</v>
      </c>
      <c r="N160" s="7">
        <v>108</v>
      </c>
      <c r="O160" s="7">
        <v>6</v>
      </c>
      <c r="P160" s="7">
        <v>95</v>
      </c>
      <c r="Q160" s="7"/>
      <c r="R160" s="7"/>
      <c r="S160" s="7"/>
      <c r="T160" s="7"/>
      <c r="U160" s="7"/>
      <c r="V160" s="7"/>
      <c r="W160" s="7"/>
      <c r="X160" s="7"/>
      <c r="Y160" s="7"/>
      <c r="Z160" s="7">
        <v>209</v>
      </c>
    </row>
    <row r="161" spans="4:26" ht="43.2" x14ac:dyDescent="0.3">
      <c r="D161" s="1">
        <v>1994</v>
      </c>
      <c r="E161" s="1">
        <v>11</v>
      </c>
      <c r="F161" s="1" t="s">
        <v>221</v>
      </c>
      <c r="G161" s="1">
        <v>12</v>
      </c>
      <c r="M161" s="8" t="s">
        <v>286</v>
      </c>
      <c r="N161" s="7">
        <v>20</v>
      </c>
      <c r="O161" s="7">
        <v>79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>
        <v>99</v>
      </c>
    </row>
    <row r="162" spans="4:26" ht="43.2" x14ac:dyDescent="0.3">
      <c r="D162" s="1">
        <v>1994</v>
      </c>
      <c r="E162" s="1">
        <v>11</v>
      </c>
      <c r="F162" s="1" t="s">
        <v>272</v>
      </c>
      <c r="G162" s="1">
        <v>10</v>
      </c>
      <c r="M162" s="8" t="s">
        <v>237</v>
      </c>
      <c r="N162" s="7">
        <v>1</v>
      </c>
      <c r="O162" s="7">
        <v>115</v>
      </c>
      <c r="P162" s="7">
        <v>103</v>
      </c>
      <c r="Q162" s="7"/>
      <c r="R162" s="7"/>
      <c r="S162" s="7"/>
      <c r="T162" s="7"/>
      <c r="U162" s="7"/>
      <c r="V162" s="7"/>
      <c r="W162" s="7"/>
      <c r="X162" s="7"/>
      <c r="Y162" s="7"/>
      <c r="Z162" s="7">
        <v>219</v>
      </c>
    </row>
    <row r="163" spans="4:26" ht="57.6" x14ac:dyDescent="0.3">
      <c r="D163" s="1">
        <v>1994</v>
      </c>
      <c r="E163" s="1">
        <v>11</v>
      </c>
      <c r="F163" s="1" t="s">
        <v>261</v>
      </c>
      <c r="G163" s="1">
        <v>10</v>
      </c>
      <c r="M163" s="8" t="s">
        <v>216</v>
      </c>
      <c r="N163" s="7">
        <v>15</v>
      </c>
      <c r="O163" s="7">
        <v>70</v>
      </c>
      <c r="P163" s="7">
        <v>100</v>
      </c>
      <c r="Q163" s="7"/>
      <c r="R163" s="7"/>
      <c r="S163" s="7"/>
      <c r="T163" s="7"/>
      <c r="U163" s="7"/>
      <c r="V163" s="7"/>
      <c r="W163" s="7"/>
      <c r="X163" s="7"/>
      <c r="Y163" s="7"/>
      <c r="Z163" s="7">
        <v>185</v>
      </c>
    </row>
    <row r="164" spans="4:26" ht="43.2" x14ac:dyDescent="0.3">
      <c r="D164" s="1">
        <v>1994</v>
      </c>
      <c r="E164" s="1">
        <v>11</v>
      </c>
      <c r="F164" s="1" t="s">
        <v>257</v>
      </c>
      <c r="G164" s="1">
        <v>10</v>
      </c>
      <c r="M164" s="8" t="s">
        <v>219</v>
      </c>
      <c r="N164" s="7">
        <v>15</v>
      </c>
      <c r="O164" s="7">
        <v>156</v>
      </c>
      <c r="P164" s="7">
        <v>100</v>
      </c>
      <c r="Q164" s="7"/>
      <c r="R164" s="7"/>
      <c r="S164" s="7"/>
      <c r="T164" s="7"/>
      <c r="U164" s="7"/>
      <c r="V164" s="7"/>
      <c r="W164" s="7"/>
      <c r="X164" s="7"/>
      <c r="Y164" s="7"/>
      <c r="Z164" s="7">
        <v>271</v>
      </c>
    </row>
    <row r="165" spans="4:26" x14ac:dyDescent="0.3">
      <c r="D165" s="1">
        <v>1994</v>
      </c>
      <c r="E165" s="1">
        <v>11</v>
      </c>
      <c r="F165" s="1" t="s">
        <v>291</v>
      </c>
      <c r="G165" s="1">
        <v>8</v>
      </c>
      <c r="M165" s="8" t="s">
        <v>224</v>
      </c>
      <c r="N165" s="7">
        <v>30</v>
      </c>
      <c r="O165" s="7">
        <v>35</v>
      </c>
      <c r="P165" s="7">
        <v>45</v>
      </c>
      <c r="Q165" s="7"/>
      <c r="R165" s="7"/>
      <c r="S165" s="7"/>
      <c r="T165" s="7"/>
      <c r="U165" s="7"/>
      <c r="V165" s="7"/>
      <c r="W165" s="7"/>
      <c r="X165" s="7"/>
      <c r="Y165" s="7"/>
      <c r="Z165" s="7">
        <v>110</v>
      </c>
    </row>
    <row r="166" spans="4:26" ht="72" x14ac:dyDescent="0.3">
      <c r="D166" s="1">
        <v>1994</v>
      </c>
      <c r="E166" s="1">
        <v>11</v>
      </c>
      <c r="F166" s="1" t="s">
        <v>268</v>
      </c>
      <c r="G166" s="1">
        <v>6</v>
      </c>
      <c r="M166" s="8" t="s">
        <v>249</v>
      </c>
      <c r="N166" s="7"/>
      <c r="O166" s="7">
        <v>84</v>
      </c>
      <c r="P166" s="7">
        <v>90</v>
      </c>
      <c r="Q166" s="7"/>
      <c r="R166" s="7"/>
      <c r="S166" s="7"/>
      <c r="T166" s="7"/>
      <c r="U166" s="7"/>
      <c r="V166" s="7"/>
      <c r="W166" s="7"/>
      <c r="X166" s="7"/>
      <c r="Y166" s="7"/>
      <c r="Z166" s="7">
        <v>174</v>
      </c>
    </row>
    <row r="167" spans="4:26" ht="43.2" x14ac:dyDescent="0.3">
      <c r="D167" s="1">
        <v>1994</v>
      </c>
      <c r="E167" s="1">
        <v>11</v>
      </c>
      <c r="F167" s="1" t="s">
        <v>262</v>
      </c>
      <c r="G167" s="1">
        <v>6</v>
      </c>
      <c r="M167" s="8" t="s">
        <v>239</v>
      </c>
      <c r="N167" s="7">
        <v>85</v>
      </c>
      <c r="O167" s="7">
        <v>62</v>
      </c>
      <c r="P167" s="7">
        <v>61</v>
      </c>
      <c r="Q167" s="7"/>
      <c r="R167" s="7"/>
      <c r="S167" s="7"/>
      <c r="T167" s="7"/>
      <c r="U167" s="7"/>
      <c r="V167" s="7"/>
      <c r="W167" s="7"/>
      <c r="X167" s="7"/>
      <c r="Y167" s="7"/>
      <c r="Z167" s="7">
        <v>208</v>
      </c>
    </row>
    <row r="168" spans="4:26" ht="28.8" x14ac:dyDescent="0.3">
      <c r="D168" s="1">
        <v>1994</v>
      </c>
      <c r="E168" s="1">
        <v>11</v>
      </c>
      <c r="F168" s="1" t="s">
        <v>290</v>
      </c>
      <c r="G168" s="1">
        <v>5</v>
      </c>
      <c r="M168" s="8" t="s">
        <v>252</v>
      </c>
      <c r="N168" s="7">
        <v>148</v>
      </c>
      <c r="O168" s="7">
        <v>59</v>
      </c>
      <c r="P168" s="7">
        <v>133</v>
      </c>
      <c r="Q168" s="7"/>
      <c r="R168" s="7"/>
      <c r="S168" s="7"/>
      <c r="T168" s="7"/>
      <c r="U168" s="7"/>
      <c r="V168" s="7"/>
      <c r="W168" s="7"/>
      <c r="X168" s="7"/>
      <c r="Y168" s="7"/>
      <c r="Z168" s="7">
        <v>340</v>
      </c>
    </row>
    <row r="169" spans="4:26" ht="28.8" x14ac:dyDescent="0.3">
      <c r="D169" s="1">
        <v>1994</v>
      </c>
      <c r="E169" s="1">
        <v>11</v>
      </c>
      <c r="F169" s="1" t="s">
        <v>252</v>
      </c>
      <c r="G169" s="1">
        <v>4</v>
      </c>
      <c r="M169" s="8" t="s">
        <v>259</v>
      </c>
      <c r="N169" s="7"/>
      <c r="O169" s="7">
        <v>21</v>
      </c>
      <c r="P169" s="7">
        <v>30</v>
      </c>
      <c r="Q169" s="7"/>
      <c r="R169" s="7"/>
      <c r="S169" s="7"/>
      <c r="T169" s="7"/>
      <c r="U169" s="7"/>
      <c r="V169" s="7"/>
      <c r="W169" s="7"/>
      <c r="X169" s="7"/>
      <c r="Y169" s="7"/>
      <c r="Z169" s="7">
        <v>51</v>
      </c>
    </row>
    <row r="170" spans="4:26" ht="57.6" x14ac:dyDescent="0.3">
      <c r="D170" s="1">
        <v>1994</v>
      </c>
      <c r="E170" s="1">
        <v>11</v>
      </c>
      <c r="F170" s="1" t="s">
        <v>282</v>
      </c>
      <c r="G170" s="1">
        <v>4</v>
      </c>
      <c r="M170" s="8" t="s">
        <v>274</v>
      </c>
      <c r="N170" s="7"/>
      <c r="O170" s="7">
        <v>30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>
        <v>30</v>
      </c>
    </row>
    <row r="171" spans="4:26" ht="43.2" x14ac:dyDescent="0.3">
      <c r="D171" s="1">
        <v>1994</v>
      </c>
      <c r="E171" s="1">
        <v>12</v>
      </c>
      <c r="F171" s="1" t="s">
        <v>219</v>
      </c>
      <c r="G171" s="1">
        <v>143</v>
      </c>
      <c r="M171" s="8" t="s">
        <v>292</v>
      </c>
      <c r="N171" s="7"/>
      <c r="O171" s="7">
        <v>8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>
        <v>8</v>
      </c>
    </row>
    <row r="172" spans="4:26" ht="57.6" x14ac:dyDescent="0.3">
      <c r="D172" s="1">
        <v>1994</v>
      </c>
      <c r="E172" s="1">
        <v>12</v>
      </c>
      <c r="F172" s="1" t="s">
        <v>251</v>
      </c>
      <c r="G172" s="1">
        <v>140</v>
      </c>
      <c r="M172" s="8" t="s">
        <v>271</v>
      </c>
      <c r="N172" s="7"/>
      <c r="O172" s="7">
        <v>90</v>
      </c>
      <c r="P172" s="7">
        <v>42</v>
      </c>
      <c r="Q172" s="7"/>
      <c r="R172" s="7"/>
      <c r="S172" s="7"/>
      <c r="T172" s="7"/>
      <c r="U172" s="7"/>
      <c r="V172" s="7"/>
      <c r="W172" s="7"/>
      <c r="X172" s="7"/>
      <c r="Y172" s="7"/>
      <c r="Z172" s="7">
        <v>132</v>
      </c>
    </row>
    <row r="173" spans="4:26" ht="28.8" x14ac:dyDescent="0.3">
      <c r="D173" s="1">
        <v>1994</v>
      </c>
      <c r="E173" s="1">
        <v>12</v>
      </c>
      <c r="F173" s="1" t="s">
        <v>243</v>
      </c>
      <c r="G173" s="1">
        <v>120</v>
      </c>
      <c r="M173" s="8" t="s">
        <v>285</v>
      </c>
      <c r="N173" s="7">
        <v>23</v>
      </c>
      <c r="O173" s="7">
        <v>20</v>
      </c>
      <c r="P173" s="7">
        <v>22</v>
      </c>
      <c r="Q173" s="7"/>
      <c r="R173" s="7"/>
      <c r="S173" s="7"/>
      <c r="T173" s="7"/>
      <c r="U173" s="7"/>
      <c r="V173" s="7"/>
      <c r="W173" s="7"/>
      <c r="X173" s="7"/>
      <c r="Y173" s="7"/>
      <c r="Z173" s="7">
        <v>65</v>
      </c>
    </row>
    <row r="174" spans="4:26" ht="28.8" x14ac:dyDescent="0.3">
      <c r="D174" s="1">
        <v>1994</v>
      </c>
      <c r="E174" s="1">
        <v>12</v>
      </c>
      <c r="F174" s="1" t="s">
        <v>276</v>
      </c>
      <c r="G174" s="1">
        <v>114</v>
      </c>
      <c r="M174" s="8" t="s">
        <v>235</v>
      </c>
      <c r="N174" s="7">
        <v>28</v>
      </c>
      <c r="O174" s="7">
        <v>55</v>
      </c>
      <c r="P174" s="7">
        <v>55</v>
      </c>
      <c r="Q174" s="7"/>
      <c r="R174" s="7"/>
      <c r="S174" s="7"/>
      <c r="T174" s="7"/>
      <c r="U174" s="7"/>
      <c r="V174" s="7"/>
      <c r="W174" s="7"/>
      <c r="X174" s="7"/>
      <c r="Y174" s="7"/>
      <c r="Z174" s="7">
        <v>138</v>
      </c>
    </row>
    <row r="175" spans="4:26" ht="28.8" x14ac:dyDescent="0.3">
      <c r="D175" s="1">
        <v>1994</v>
      </c>
      <c r="E175" s="1">
        <v>12</v>
      </c>
      <c r="F175" s="1" t="s">
        <v>252</v>
      </c>
      <c r="G175" s="1">
        <v>104</v>
      </c>
      <c r="M175" s="8" t="s">
        <v>291</v>
      </c>
      <c r="N175" s="7"/>
      <c r="O175" s="7">
        <v>20</v>
      </c>
      <c r="P175" s="7">
        <v>105</v>
      </c>
      <c r="Q175" s="7"/>
      <c r="R175" s="7"/>
      <c r="S175" s="7"/>
      <c r="T175" s="7"/>
      <c r="U175" s="7"/>
      <c r="V175" s="7"/>
      <c r="W175" s="7"/>
      <c r="X175" s="7"/>
      <c r="Y175" s="7"/>
      <c r="Z175" s="7">
        <v>125</v>
      </c>
    </row>
    <row r="176" spans="4:26" ht="57.6" x14ac:dyDescent="0.3">
      <c r="D176" s="1">
        <v>1994</v>
      </c>
      <c r="E176" s="1">
        <v>12</v>
      </c>
      <c r="F176" s="1" t="s">
        <v>230</v>
      </c>
      <c r="G176" s="1">
        <v>85</v>
      </c>
      <c r="M176" s="8" t="s">
        <v>221</v>
      </c>
      <c r="N176" s="7">
        <v>100</v>
      </c>
      <c r="O176" s="7">
        <v>104</v>
      </c>
      <c r="P176" s="7">
        <v>37</v>
      </c>
      <c r="Q176" s="7"/>
      <c r="R176" s="7"/>
      <c r="S176" s="7"/>
      <c r="T176" s="7"/>
      <c r="U176" s="7"/>
      <c r="V176" s="7"/>
      <c r="W176" s="7"/>
      <c r="X176" s="7"/>
      <c r="Y176" s="7"/>
      <c r="Z176" s="7">
        <v>241</v>
      </c>
    </row>
    <row r="177" spans="4:26" ht="43.2" x14ac:dyDescent="0.3">
      <c r="D177" s="1">
        <v>1994</v>
      </c>
      <c r="E177" s="1">
        <v>12</v>
      </c>
      <c r="F177" s="1" t="s">
        <v>272</v>
      </c>
      <c r="G177" s="1">
        <v>80</v>
      </c>
      <c r="M177" s="8" t="s">
        <v>243</v>
      </c>
      <c r="N177" s="7">
        <v>149</v>
      </c>
      <c r="O177" s="7">
        <v>74</v>
      </c>
      <c r="P177" s="7">
        <v>35</v>
      </c>
      <c r="Q177" s="7">
        <v>153</v>
      </c>
      <c r="R177" s="7"/>
      <c r="S177" s="7"/>
      <c r="T177" s="7"/>
      <c r="U177" s="7"/>
      <c r="V177" s="7"/>
      <c r="W177" s="7"/>
      <c r="X177" s="7"/>
      <c r="Y177" s="7"/>
      <c r="Z177" s="7">
        <v>411</v>
      </c>
    </row>
    <row r="178" spans="4:26" ht="28.8" x14ac:dyDescent="0.3">
      <c r="D178" s="1">
        <v>1994</v>
      </c>
      <c r="E178" s="1">
        <v>12</v>
      </c>
      <c r="F178" s="1" t="s">
        <v>216</v>
      </c>
      <c r="G178" s="1">
        <v>80</v>
      </c>
      <c r="M178" s="8" t="s">
        <v>268</v>
      </c>
      <c r="N178" s="7"/>
      <c r="O178" s="7">
        <v>6</v>
      </c>
      <c r="P178" s="7">
        <v>50</v>
      </c>
      <c r="Q178" s="7"/>
      <c r="R178" s="7"/>
      <c r="S178" s="7"/>
      <c r="T178" s="7"/>
      <c r="U178" s="7"/>
      <c r="V178" s="7"/>
      <c r="W178" s="7"/>
      <c r="X178" s="7"/>
      <c r="Y178" s="7"/>
      <c r="Z178" s="7">
        <v>56</v>
      </c>
    </row>
    <row r="179" spans="4:26" ht="28.8" x14ac:dyDescent="0.3">
      <c r="D179" s="1">
        <v>1994</v>
      </c>
      <c r="E179" s="1">
        <v>12</v>
      </c>
      <c r="F179" s="1" t="s">
        <v>255</v>
      </c>
      <c r="G179" s="1">
        <v>77</v>
      </c>
      <c r="M179" s="8" t="s">
        <v>287</v>
      </c>
      <c r="N179" s="7"/>
      <c r="O179" s="7">
        <v>60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>
        <v>60</v>
      </c>
    </row>
    <row r="180" spans="4:26" ht="28.8" x14ac:dyDescent="0.3">
      <c r="D180" s="1">
        <v>1994</v>
      </c>
      <c r="E180" s="1">
        <v>12</v>
      </c>
      <c r="F180" s="1" t="s">
        <v>228</v>
      </c>
      <c r="G180" s="1">
        <v>68</v>
      </c>
      <c r="M180" s="8" t="s">
        <v>278</v>
      </c>
      <c r="N180" s="7">
        <v>40</v>
      </c>
      <c r="O180" s="7">
        <v>40</v>
      </c>
      <c r="P180" s="7">
        <v>146</v>
      </c>
      <c r="Q180" s="7">
        <v>200</v>
      </c>
      <c r="R180" s="7"/>
      <c r="S180" s="7"/>
      <c r="T180" s="7"/>
      <c r="U180" s="7"/>
      <c r="V180" s="7"/>
      <c r="W180" s="7"/>
      <c r="X180" s="7"/>
      <c r="Y180" s="7"/>
      <c r="Z180" s="7">
        <v>426</v>
      </c>
    </row>
    <row r="181" spans="4:26" ht="57.6" x14ac:dyDescent="0.3">
      <c r="D181" s="1">
        <v>1994</v>
      </c>
      <c r="E181" s="1">
        <v>12</v>
      </c>
      <c r="F181" s="1" t="s">
        <v>282</v>
      </c>
      <c r="G181" s="1">
        <v>60</v>
      </c>
      <c r="M181" s="8" t="s">
        <v>228</v>
      </c>
      <c r="N181" s="7">
        <v>24</v>
      </c>
      <c r="O181" s="7"/>
      <c r="P181" s="7">
        <v>50</v>
      </c>
      <c r="Q181" s="7"/>
      <c r="R181" s="7"/>
      <c r="S181" s="7"/>
      <c r="T181" s="7"/>
      <c r="U181" s="7"/>
      <c r="V181" s="7"/>
      <c r="W181" s="7"/>
      <c r="X181" s="7"/>
      <c r="Y181" s="7"/>
      <c r="Z181" s="7">
        <v>74</v>
      </c>
    </row>
    <row r="182" spans="4:26" x14ac:dyDescent="0.3">
      <c r="D182" s="1">
        <v>1994</v>
      </c>
      <c r="E182" s="1">
        <v>12</v>
      </c>
      <c r="F182" s="1" t="s">
        <v>238</v>
      </c>
      <c r="G182" s="1">
        <v>56</v>
      </c>
      <c r="M182" s="8" t="s">
        <v>255</v>
      </c>
      <c r="N182" s="7">
        <v>10</v>
      </c>
      <c r="O182" s="7">
        <v>16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>
        <v>26</v>
      </c>
    </row>
    <row r="183" spans="4:26" ht="28.8" x14ac:dyDescent="0.3">
      <c r="D183" s="1">
        <v>1994</v>
      </c>
      <c r="E183" s="1">
        <v>12</v>
      </c>
      <c r="F183" s="1" t="s">
        <v>267</v>
      </c>
      <c r="G183" s="1">
        <v>50</v>
      </c>
      <c r="M183" s="8" t="s">
        <v>233</v>
      </c>
      <c r="N183" s="7">
        <v>21</v>
      </c>
      <c r="O183" s="7">
        <v>105</v>
      </c>
      <c r="P183" s="7">
        <v>20</v>
      </c>
      <c r="Q183" s="7"/>
      <c r="R183" s="7"/>
      <c r="S183" s="7"/>
      <c r="T183" s="7"/>
      <c r="U183" s="7"/>
      <c r="V183" s="7"/>
      <c r="W183" s="7"/>
      <c r="X183" s="7"/>
      <c r="Y183" s="7"/>
      <c r="Z183" s="7">
        <v>146</v>
      </c>
    </row>
    <row r="184" spans="4:26" ht="28.8" x14ac:dyDescent="0.3">
      <c r="D184" s="1">
        <v>1994</v>
      </c>
      <c r="E184" s="1">
        <v>12</v>
      </c>
      <c r="F184" s="1" t="s">
        <v>270</v>
      </c>
      <c r="G184" s="1">
        <v>46</v>
      </c>
      <c r="M184" s="8" t="s">
        <v>269</v>
      </c>
      <c r="N184" s="7">
        <v>10</v>
      </c>
      <c r="O184" s="7">
        <v>87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>
        <v>97</v>
      </c>
    </row>
    <row r="185" spans="4:26" ht="43.2" x14ac:dyDescent="0.3">
      <c r="D185" s="1">
        <v>1994</v>
      </c>
      <c r="E185" s="1">
        <v>12</v>
      </c>
      <c r="F185" s="1" t="s">
        <v>278</v>
      </c>
      <c r="G185" s="1">
        <v>45</v>
      </c>
      <c r="M185" s="8" t="s">
        <v>232</v>
      </c>
      <c r="N185" s="7">
        <v>52</v>
      </c>
      <c r="O185" s="7">
        <v>131</v>
      </c>
      <c r="P185" s="7">
        <v>80</v>
      </c>
      <c r="Q185" s="7"/>
      <c r="R185" s="7"/>
      <c r="S185" s="7"/>
      <c r="T185" s="7"/>
      <c r="U185" s="7"/>
      <c r="V185" s="7"/>
      <c r="W185" s="7"/>
      <c r="X185" s="7"/>
      <c r="Y185" s="7"/>
      <c r="Z185" s="7">
        <v>263</v>
      </c>
    </row>
    <row r="186" spans="4:26" ht="43.2" x14ac:dyDescent="0.3">
      <c r="D186" s="1">
        <v>1994</v>
      </c>
      <c r="E186" s="1">
        <v>12</v>
      </c>
      <c r="F186" s="1" t="s">
        <v>225</v>
      </c>
      <c r="G186" s="1">
        <v>43</v>
      </c>
      <c r="M186" s="8" t="s">
        <v>247</v>
      </c>
      <c r="N186" s="7">
        <v>30</v>
      </c>
      <c r="O186" s="7">
        <v>50</v>
      </c>
      <c r="P186" s="7">
        <v>20</v>
      </c>
      <c r="Q186" s="7"/>
      <c r="R186" s="7"/>
      <c r="S186" s="7"/>
      <c r="T186" s="7"/>
      <c r="U186" s="7"/>
      <c r="V186" s="7"/>
      <c r="W186" s="7"/>
      <c r="X186" s="7"/>
      <c r="Y186" s="7"/>
      <c r="Z186" s="7">
        <v>100</v>
      </c>
    </row>
    <row r="187" spans="4:26" ht="57.6" x14ac:dyDescent="0.3">
      <c r="D187" s="1">
        <v>1994</v>
      </c>
      <c r="E187" s="1">
        <v>12</v>
      </c>
      <c r="F187" s="1" t="s">
        <v>217</v>
      </c>
      <c r="G187" s="1">
        <v>39</v>
      </c>
      <c r="M187" s="8" t="s">
        <v>227</v>
      </c>
      <c r="N187" s="7">
        <v>30</v>
      </c>
      <c r="O187" s="7">
        <v>41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>
        <v>71</v>
      </c>
    </row>
    <row r="188" spans="4:26" ht="28.8" x14ac:dyDescent="0.3">
      <c r="D188" s="1">
        <v>1994</v>
      </c>
      <c r="E188" s="1">
        <v>12</v>
      </c>
      <c r="F188" s="1" t="s">
        <v>223</v>
      </c>
      <c r="G188" s="1">
        <v>36</v>
      </c>
      <c r="M188" s="8" t="s">
        <v>263</v>
      </c>
      <c r="N188" s="7">
        <v>74</v>
      </c>
      <c r="O188" s="7">
        <v>52</v>
      </c>
      <c r="P188" s="7">
        <v>49</v>
      </c>
      <c r="Q188" s="7"/>
      <c r="R188" s="7"/>
      <c r="S188" s="7"/>
      <c r="T188" s="7"/>
      <c r="U188" s="7"/>
      <c r="V188" s="7"/>
      <c r="W188" s="7"/>
      <c r="X188" s="7"/>
      <c r="Y188" s="7"/>
      <c r="Z188" s="7">
        <v>175</v>
      </c>
    </row>
    <row r="189" spans="4:26" ht="28.8" x14ac:dyDescent="0.3">
      <c r="D189" s="1">
        <v>1994</v>
      </c>
      <c r="E189" s="1">
        <v>12</v>
      </c>
      <c r="F189" s="1" t="s">
        <v>250</v>
      </c>
      <c r="G189" s="1">
        <v>36</v>
      </c>
      <c r="M189" s="8" t="s">
        <v>275</v>
      </c>
      <c r="N189" s="7">
        <v>20</v>
      </c>
      <c r="O189" s="7">
        <v>91</v>
      </c>
      <c r="P189" s="7">
        <v>73</v>
      </c>
      <c r="Q189" s="7">
        <v>288</v>
      </c>
      <c r="R189" s="7"/>
      <c r="S189" s="7"/>
      <c r="T189" s="7"/>
      <c r="U189" s="7"/>
      <c r="V189" s="7"/>
      <c r="W189" s="7"/>
      <c r="X189" s="7"/>
      <c r="Y189" s="7"/>
      <c r="Z189" s="7">
        <v>472</v>
      </c>
    </row>
    <row r="190" spans="4:26" ht="72" x14ac:dyDescent="0.3">
      <c r="D190" s="1">
        <v>1994</v>
      </c>
      <c r="E190" s="1">
        <v>12</v>
      </c>
      <c r="F190" s="1" t="s">
        <v>259</v>
      </c>
      <c r="G190" s="1">
        <v>35</v>
      </c>
      <c r="M190" s="8" t="s">
        <v>241</v>
      </c>
      <c r="N190" s="7"/>
      <c r="O190" s="7">
        <v>91</v>
      </c>
      <c r="P190" s="7">
        <v>10</v>
      </c>
      <c r="Q190" s="7">
        <v>139</v>
      </c>
      <c r="R190" s="7"/>
      <c r="S190" s="7"/>
      <c r="T190" s="7"/>
      <c r="U190" s="7"/>
      <c r="V190" s="7"/>
      <c r="W190" s="7"/>
      <c r="X190" s="7"/>
      <c r="Y190" s="7"/>
      <c r="Z190" s="7">
        <v>240</v>
      </c>
    </row>
    <row r="191" spans="4:26" x14ac:dyDescent="0.3">
      <c r="D191" s="1">
        <v>1994</v>
      </c>
      <c r="E191" s="1">
        <v>12</v>
      </c>
      <c r="F191" s="1" t="s">
        <v>258</v>
      </c>
      <c r="G191" s="1">
        <v>35</v>
      </c>
      <c r="M191" s="8" t="s">
        <v>289</v>
      </c>
      <c r="N191" s="7">
        <v>3</v>
      </c>
      <c r="O191" s="7"/>
      <c r="P191" s="7">
        <v>30</v>
      </c>
      <c r="Q191" s="7"/>
      <c r="R191" s="7"/>
      <c r="S191" s="7"/>
      <c r="T191" s="7"/>
      <c r="U191" s="7"/>
      <c r="V191" s="7"/>
      <c r="W191" s="7"/>
      <c r="X191" s="7"/>
      <c r="Y191" s="7"/>
      <c r="Z191" s="7">
        <v>33</v>
      </c>
    </row>
    <row r="192" spans="4:26" ht="57.6" x14ac:dyDescent="0.3">
      <c r="D192" s="1">
        <v>1994</v>
      </c>
      <c r="E192" s="1">
        <v>12</v>
      </c>
      <c r="F192" s="1" t="s">
        <v>246</v>
      </c>
      <c r="G192" s="1">
        <v>30</v>
      </c>
      <c r="M192" s="8" t="s">
        <v>288</v>
      </c>
      <c r="N192" s="7">
        <v>50</v>
      </c>
      <c r="O192" s="7">
        <v>20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>
        <v>70</v>
      </c>
    </row>
    <row r="193" spans="4:26" x14ac:dyDescent="0.3">
      <c r="D193" s="1">
        <v>1994</v>
      </c>
      <c r="E193" s="1">
        <v>12</v>
      </c>
      <c r="F193" s="1" t="s">
        <v>232</v>
      </c>
      <c r="G193" s="1">
        <v>30</v>
      </c>
      <c r="M193" s="8" t="s">
        <v>246</v>
      </c>
      <c r="N193" s="7">
        <v>82</v>
      </c>
      <c r="O193" s="7">
        <v>15</v>
      </c>
      <c r="P193" s="7">
        <v>64</v>
      </c>
      <c r="Q193" s="7"/>
      <c r="R193" s="7"/>
      <c r="S193" s="7"/>
      <c r="T193" s="7"/>
      <c r="U193" s="7"/>
      <c r="V193" s="7"/>
      <c r="W193" s="7"/>
      <c r="X193" s="7"/>
      <c r="Y193" s="7"/>
      <c r="Z193" s="7">
        <v>161</v>
      </c>
    </row>
    <row r="194" spans="4:26" ht="28.8" x14ac:dyDescent="0.3">
      <c r="D194" s="1">
        <v>1994</v>
      </c>
      <c r="E194" s="1">
        <v>12</v>
      </c>
      <c r="F194" s="1" t="s">
        <v>241</v>
      </c>
      <c r="G194" s="1">
        <v>27</v>
      </c>
      <c r="M194" s="8" t="s">
        <v>283</v>
      </c>
      <c r="N194" s="7">
        <v>50</v>
      </c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>
        <v>50</v>
      </c>
    </row>
    <row r="195" spans="4:26" x14ac:dyDescent="0.3">
      <c r="D195" s="1">
        <v>1994</v>
      </c>
      <c r="E195" s="1">
        <v>12</v>
      </c>
      <c r="F195" s="1" t="s">
        <v>249</v>
      </c>
      <c r="G195" s="1">
        <v>27</v>
      </c>
      <c r="M195" s="8" t="s">
        <v>222</v>
      </c>
      <c r="N195" s="7">
        <v>188</v>
      </c>
      <c r="O195" s="7">
        <v>13</v>
      </c>
      <c r="P195" s="7">
        <v>2</v>
      </c>
      <c r="Q195" s="7"/>
      <c r="R195" s="7"/>
      <c r="S195" s="7"/>
      <c r="T195" s="7"/>
      <c r="U195" s="7"/>
      <c r="V195" s="7"/>
      <c r="W195" s="7"/>
      <c r="X195" s="7"/>
      <c r="Y195" s="7"/>
      <c r="Z195" s="7">
        <v>203</v>
      </c>
    </row>
    <row r="196" spans="4:26" ht="28.8" x14ac:dyDescent="0.3">
      <c r="D196" s="1">
        <v>1994</v>
      </c>
      <c r="E196" s="1">
        <v>12</v>
      </c>
      <c r="F196" s="1" t="s">
        <v>277</v>
      </c>
      <c r="G196" s="1">
        <v>25</v>
      </c>
      <c r="M196" s="8" t="s">
        <v>262</v>
      </c>
      <c r="N196" s="7"/>
      <c r="O196" s="7">
        <v>20</v>
      </c>
      <c r="P196" s="7">
        <v>6</v>
      </c>
      <c r="Q196" s="7"/>
      <c r="R196" s="7"/>
      <c r="S196" s="7"/>
      <c r="T196" s="7"/>
      <c r="U196" s="7"/>
      <c r="V196" s="7"/>
      <c r="W196" s="7"/>
      <c r="X196" s="7"/>
      <c r="Y196" s="7"/>
      <c r="Z196" s="7">
        <v>26</v>
      </c>
    </row>
    <row r="197" spans="4:26" ht="43.2" x14ac:dyDescent="0.3">
      <c r="D197" s="1">
        <v>1994</v>
      </c>
      <c r="E197" s="1">
        <v>12</v>
      </c>
      <c r="F197" s="1" t="s">
        <v>221</v>
      </c>
      <c r="G197" s="1">
        <v>20</v>
      </c>
      <c r="M197" s="8" t="s">
        <v>258</v>
      </c>
      <c r="N197" s="7">
        <v>4</v>
      </c>
      <c r="O197" s="7"/>
      <c r="P197" s="7">
        <v>87</v>
      </c>
      <c r="Q197" s="7"/>
      <c r="R197" s="7"/>
      <c r="S197" s="7"/>
      <c r="T197" s="7"/>
      <c r="U197" s="7"/>
      <c r="V197" s="7"/>
      <c r="W197" s="7"/>
      <c r="X197" s="7"/>
      <c r="Y197" s="7"/>
      <c r="Z197" s="7">
        <v>91</v>
      </c>
    </row>
    <row r="198" spans="4:26" x14ac:dyDescent="0.3">
      <c r="D198" s="1">
        <v>1994</v>
      </c>
      <c r="E198" s="1">
        <v>12</v>
      </c>
      <c r="F198" s="1" t="s">
        <v>247</v>
      </c>
      <c r="G198" s="1">
        <v>20</v>
      </c>
      <c r="M198" s="8" t="s">
        <v>264</v>
      </c>
      <c r="N198" s="7"/>
      <c r="O198" s="7">
        <v>3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>
        <v>3</v>
      </c>
    </row>
    <row r="199" spans="4:26" ht="43.2" x14ac:dyDescent="0.3">
      <c r="D199" s="1">
        <v>1994</v>
      </c>
      <c r="E199" s="1">
        <v>12</v>
      </c>
      <c r="F199" s="1" t="s">
        <v>222</v>
      </c>
      <c r="G199" s="1">
        <v>20</v>
      </c>
      <c r="M199" s="8" t="s">
        <v>226</v>
      </c>
      <c r="N199" s="7">
        <v>40</v>
      </c>
      <c r="O199" s="7">
        <v>55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>
        <v>95</v>
      </c>
    </row>
    <row r="200" spans="4:26" ht="57.6" x14ac:dyDescent="0.3">
      <c r="D200" s="1">
        <v>1994</v>
      </c>
      <c r="E200" s="1">
        <v>12</v>
      </c>
      <c r="F200" s="1" t="s">
        <v>265</v>
      </c>
      <c r="G200" s="1">
        <v>18</v>
      </c>
      <c r="M200" s="8" t="s">
        <v>245</v>
      </c>
      <c r="N200" s="7">
        <v>40</v>
      </c>
      <c r="O200" s="7">
        <v>20</v>
      </c>
      <c r="P200" s="7">
        <v>126</v>
      </c>
      <c r="Q200" s="7"/>
      <c r="R200" s="7"/>
      <c r="S200" s="7"/>
      <c r="T200" s="7"/>
      <c r="U200" s="7"/>
      <c r="V200" s="7"/>
      <c r="W200" s="7"/>
      <c r="X200" s="7"/>
      <c r="Y200" s="7"/>
      <c r="Z200" s="7">
        <v>186</v>
      </c>
    </row>
    <row r="201" spans="4:26" ht="43.2" x14ac:dyDescent="0.3">
      <c r="D201" s="1">
        <v>1994</v>
      </c>
      <c r="E201" s="1">
        <v>12</v>
      </c>
      <c r="F201" s="1" t="s">
        <v>233</v>
      </c>
      <c r="G201" s="1">
        <v>16</v>
      </c>
      <c r="M201" s="8" t="s">
        <v>251</v>
      </c>
      <c r="N201" s="7">
        <v>30</v>
      </c>
      <c r="O201" s="7">
        <v>20</v>
      </c>
      <c r="P201" s="7">
        <v>30</v>
      </c>
      <c r="Q201" s="7"/>
      <c r="R201" s="7"/>
      <c r="S201" s="7"/>
      <c r="T201" s="7"/>
      <c r="U201" s="7"/>
      <c r="V201" s="7"/>
      <c r="W201" s="7"/>
      <c r="X201" s="7"/>
      <c r="Y201" s="7"/>
      <c r="Z201" s="7">
        <v>80</v>
      </c>
    </row>
    <row r="202" spans="4:26" ht="28.8" x14ac:dyDescent="0.3">
      <c r="D202" s="1">
        <v>1994</v>
      </c>
      <c r="E202" s="1">
        <v>12</v>
      </c>
      <c r="F202" s="1" t="s">
        <v>284</v>
      </c>
      <c r="G202" s="1">
        <v>15</v>
      </c>
      <c r="M202" s="8" t="s">
        <v>282</v>
      </c>
      <c r="N202" s="7">
        <v>62</v>
      </c>
      <c r="O202" s="7">
        <v>51</v>
      </c>
      <c r="P202" s="7">
        <v>5</v>
      </c>
      <c r="Q202" s="7"/>
      <c r="R202" s="7"/>
      <c r="S202" s="7"/>
      <c r="T202" s="7"/>
      <c r="U202" s="7"/>
      <c r="V202" s="7"/>
      <c r="W202" s="7"/>
      <c r="X202" s="7"/>
      <c r="Y202" s="7"/>
      <c r="Z202" s="7">
        <v>118</v>
      </c>
    </row>
    <row r="203" spans="4:26" ht="72" x14ac:dyDescent="0.3">
      <c r="D203" s="1">
        <v>1994</v>
      </c>
      <c r="E203" s="1">
        <v>12</v>
      </c>
      <c r="F203" s="1" t="s">
        <v>263</v>
      </c>
      <c r="G203" s="1">
        <v>13</v>
      </c>
      <c r="M203" s="8" t="s">
        <v>256</v>
      </c>
      <c r="N203" s="7">
        <v>15</v>
      </c>
      <c r="O203" s="7">
        <v>52</v>
      </c>
      <c r="P203" s="7">
        <v>65</v>
      </c>
      <c r="Q203" s="7"/>
      <c r="R203" s="7"/>
      <c r="S203" s="7"/>
      <c r="T203" s="7"/>
      <c r="U203" s="7"/>
      <c r="V203" s="7"/>
      <c r="W203" s="7"/>
      <c r="X203" s="7"/>
      <c r="Y203" s="7"/>
      <c r="Z203" s="7">
        <v>132</v>
      </c>
    </row>
    <row r="204" spans="4:26" ht="28.8" x14ac:dyDescent="0.3">
      <c r="D204" s="1">
        <v>1994</v>
      </c>
      <c r="E204" s="1">
        <v>12</v>
      </c>
      <c r="F204" s="1" t="s">
        <v>236</v>
      </c>
      <c r="G204" s="1">
        <v>12</v>
      </c>
      <c r="M204" s="8" t="s">
        <v>254</v>
      </c>
      <c r="N204" s="7">
        <v>35</v>
      </c>
      <c r="O204" s="7">
        <v>96</v>
      </c>
      <c r="P204" s="7">
        <v>83</v>
      </c>
      <c r="Q204" s="7"/>
      <c r="R204" s="7"/>
      <c r="S204" s="7"/>
      <c r="T204" s="7"/>
      <c r="U204" s="7"/>
      <c r="V204" s="7"/>
      <c r="W204" s="7"/>
      <c r="X204" s="7"/>
      <c r="Y204" s="7"/>
      <c r="Z204" s="7">
        <v>214</v>
      </c>
    </row>
    <row r="205" spans="4:26" ht="72" x14ac:dyDescent="0.3">
      <c r="D205" s="1">
        <v>1994</v>
      </c>
      <c r="E205" s="1">
        <v>12</v>
      </c>
      <c r="F205" s="1" t="s">
        <v>256</v>
      </c>
      <c r="G205" s="1">
        <v>12</v>
      </c>
      <c r="M205" s="8" t="s">
        <v>236</v>
      </c>
      <c r="N205" s="7">
        <v>60</v>
      </c>
      <c r="O205" s="7"/>
      <c r="P205" s="7">
        <v>40</v>
      </c>
      <c r="Q205" s="7"/>
      <c r="R205" s="7"/>
      <c r="S205" s="7"/>
      <c r="T205" s="7"/>
      <c r="U205" s="7"/>
      <c r="V205" s="7"/>
      <c r="W205" s="7"/>
      <c r="X205" s="7"/>
      <c r="Y205" s="7"/>
      <c r="Z205" s="7">
        <v>100</v>
      </c>
    </row>
    <row r="206" spans="4:26" ht="57.6" x14ac:dyDescent="0.3">
      <c r="D206" s="1">
        <v>1994</v>
      </c>
      <c r="E206" s="1">
        <v>12</v>
      </c>
      <c r="F206" s="1" t="s">
        <v>261</v>
      </c>
      <c r="G206" s="1">
        <v>9</v>
      </c>
      <c r="M206" s="8" t="s">
        <v>238</v>
      </c>
      <c r="N206" s="7">
        <v>85</v>
      </c>
      <c r="O206" s="7">
        <v>50</v>
      </c>
      <c r="P206" s="7">
        <v>63</v>
      </c>
      <c r="Q206" s="7">
        <v>173</v>
      </c>
      <c r="R206" s="7"/>
      <c r="S206" s="7"/>
      <c r="T206" s="7"/>
      <c r="U206" s="7"/>
      <c r="V206" s="7"/>
      <c r="W206" s="7"/>
      <c r="X206" s="7"/>
      <c r="Y206" s="7"/>
      <c r="Z206" s="7">
        <v>371</v>
      </c>
    </row>
    <row r="207" spans="4:26" ht="28.8" x14ac:dyDescent="0.3">
      <c r="D207" s="1">
        <v>1994</v>
      </c>
      <c r="E207" s="1">
        <v>12</v>
      </c>
      <c r="F207" s="1" t="s">
        <v>235</v>
      </c>
      <c r="G207" s="1">
        <v>5</v>
      </c>
      <c r="M207" s="8" t="s">
        <v>234</v>
      </c>
      <c r="N207" s="7"/>
      <c r="O207" s="7">
        <v>29</v>
      </c>
      <c r="P207" s="7">
        <v>3</v>
      </c>
      <c r="Q207" s="7"/>
      <c r="R207" s="7"/>
      <c r="S207" s="7"/>
      <c r="T207" s="7"/>
      <c r="U207" s="7"/>
      <c r="V207" s="7"/>
      <c r="W207" s="7"/>
      <c r="X207" s="7"/>
      <c r="Y207" s="7"/>
      <c r="Z207" s="7">
        <v>32</v>
      </c>
    </row>
    <row r="208" spans="4:26" ht="43.2" x14ac:dyDescent="0.3">
      <c r="D208" s="1">
        <v>1994</v>
      </c>
      <c r="E208" s="1">
        <v>12</v>
      </c>
      <c r="F208" s="1" t="s">
        <v>257</v>
      </c>
      <c r="G208" s="1">
        <v>5</v>
      </c>
      <c r="M208" s="8" t="s">
        <v>250</v>
      </c>
      <c r="N208" s="7">
        <v>85</v>
      </c>
      <c r="O208" s="7">
        <v>35</v>
      </c>
      <c r="P208" s="7">
        <v>115</v>
      </c>
      <c r="Q208" s="7"/>
      <c r="R208" s="7"/>
      <c r="S208" s="7"/>
      <c r="T208" s="7"/>
      <c r="U208" s="7"/>
      <c r="V208" s="7"/>
      <c r="W208" s="7"/>
      <c r="X208" s="7"/>
      <c r="Y208" s="7"/>
      <c r="Z208" s="7">
        <v>235</v>
      </c>
    </row>
    <row r="209" spans="4:26" ht="43.2" x14ac:dyDescent="0.3">
      <c r="D209" s="1">
        <v>1994</v>
      </c>
      <c r="E209" s="1">
        <v>12</v>
      </c>
      <c r="F209" s="1" t="s">
        <v>260</v>
      </c>
      <c r="G209" s="1">
        <v>4</v>
      </c>
      <c r="M209" s="8" t="s">
        <v>279</v>
      </c>
      <c r="N209" s="7">
        <v>27</v>
      </c>
      <c r="O209" s="7">
        <v>36</v>
      </c>
      <c r="P209" s="7">
        <v>15</v>
      </c>
      <c r="Q209" s="7"/>
      <c r="R209" s="7"/>
      <c r="S209" s="7"/>
      <c r="T209" s="7"/>
      <c r="U209" s="7"/>
      <c r="V209" s="7"/>
      <c r="W209" s="7"/>
      <c r="X209" s="7"/>
      <c r="Y209" s="7"/>
      <c r="Z209" s="7">
        <v>78</v>
      </c>
    </row>
    <row r="210" spans="4:26" ht="43.2" x14ac:dyDescent="0.3">
      <c r="D210" s="1">
        <v>1994</v>
      </c>
      <c r="E210" s="1">
        <v>12</v>
      </c>
      <c r="F210" s="1" t="s">
        <v>237</v>
      </c>
      <c r="G210" s="1">
        <v>4</v>
      </c>
      <c r="M210" s="8" t="s">
        <v>281</v>
      </c>
      <c r="N210" s="7"/>
      <c r="O210" s="7"/>
      <c r="P210" s="7">
        <v>10</v>
      </c>
      <c r="Q210" s="7"/>
      <c r="R210" s="7"/>
      <c r="S210" s="7"/>
      <c r="T210" s="7"/>
      <c r="U210" s="7"/>
      <c r="V210" s="7"/>
      <c r="W210" s="7"/>
      <c r="X210" s="7"/>
      <c r="Y210" s="7"/>
      <c r="Z210" s="7">
        <v>10</v>
      </c>
    </row>
    <row r="211" spans="4:26" ht="28.8" x14ac:dyDescent="0.3">
      <c r="D211" s="1">
        <v>1995</v>
      </c>
      <c r="E211" s="1">
        <v>1</v>
      </c>
      <c r="F211" s="1" t="s">
        <v>243</v>
      </c>
      <c r="G211" s="1">
        <v>164</v>
      </c>
      <c r="M211" s="8" t="s">
        <v>225</v>
      </c>
      <c r="N211" s="7">
        <v>24</v>
      </c>
      <c r="O211" s="7"/>
      <c r="P211" s="7">
        <v>3</v>
      </c>
      <c r="Q211" s="7"/>
      <c r="R211" s="7"/>
      <c r="S211" s="7"/>
      <c r="T211" s="7"/>
      <c r="U211" s="7"/>
      <c r="V211" s="7"/>
      <c r="W211" s="7"/>
      <c r="X211" s="7"/>
      <c r="Y211" s="7"/>
      <c r="Z211" s="7">
        <v>27</v>
      </c>
    </row>
    <row r="212" spans="4:26" ht="28.8" x14ac:dyDescent="0.3">
      <c r="D212" s="1">
        <v>1995</v>
      </c>
      <c r="E212" s="1">
        <v>1</v>
      </c>
      <c r="F212" s="1" t="s">
        <v>235</v>
      </c>
      <c r="G212" s="1">
        <v>161</v>
      </c>
      <c r="M212" s="8" t="s">
        <v>218</v>
      </c>
      <c r="N212" s="7">
        <v>65</v>
      </c>
      <c r="O212" s="7">
        <v>147</v>
      </c>
      <c r="P212" s="7">
        <v>40</v>
      </c>
      <c r="Q212" s="7"/>
      <c r="R212" s="7"/>
      <c r="S212" s="7"/>
      <c r="T212" s="7"/>
      <c r="U212" s="7"/>
      <c r="V212" s="7"/>
      <c r="W212" s="7"/>
      <c r="X212" s="7"/>
      <c r="Y212" s="7"/>
      <c r="Z212" s="7">
        <v>252</v>
      </c>
    </row>
    <row r="213" spans="4:26" ht="28.8" x14ac:dyDescent="0.3">
      <c r="D213" s="1">
        <v>1995</v>
      </c>
      <c r="E213" s="1">
        <v>1</v>
      </c>
      <c r="F213" s="1" t="s">
        <v>236</v>
      </c>
      <c r="G213" s="1">
        <v>135</v>
      </c>
      <c r="M213" s="8" t="s">
        <v>267</v>
      </c>
      <c r="N213" s="7"/>
      <c r="O213" s="7">
        <v>64</v>
      </c>
      <c r="P213" s="7">
        <v>20</v>
      </c>
      <c r="Q213" s="7"/>
      <c r="R213" s="7"/>
      <c r="S213" s="7"/>
      <c r="T213" s="7"/>
      <c r="U213" s="7"/>
      <c r="V213" s="7"/>
      <c r="W213" s="7"/>
      <c r="X213" s="7"/>
      <c r="Y213" s="7"/>
      <c r="Z213" s="7">
        <v>84</v>
      </c>
    </row>
    <row r="214" spans="4:26" ht="28.8" x14ac:dyDescent="0.3">
      <c r="D214" s="1">
        <v>1995</v>
      </c>
      <c r="E214" s="1">
        <v>1</v>
      </c>
      <c r="F214" s="1" t="s">
        <v>234</v>
      </c>
      <c r="G214" s="1">
        <v>130</v>
      </c>
      <c r="M214" s="8" t="s">
        <v>265</v>
      </c>
      <c r="N214" s="7">
        <v>117</v>
      </c>
      <c r="O214" s="7">
        <v>20</v>
      </c>
      <c r="P214" s="7">
        <v>134</v>
      </c>
      <c r="Q214" s="7">
        <v>217</v>
      </c>
      <c r="R214" s="7"/>
      <c r="S214" s="7"/>
      <c r="T214" s="7"/>
      <c r="U214" s="7"/>
      <c r="V214" s="7"/>
      <c r="W214" s="7"/>
      <c r="X214" s="7"/>
      <c r="Y214" s="7"/>
      <c r="Z214" s="7">
        <v>488</v>
      </c>
    </row>
    <row r="215" spans="4:26" ht="43.2" x14ac:dyDescent="0.3">
      <c r="D215" s="1">
        <v>1995</v>
      </c>
      <c r="E215" s="1">
        <v>1</v>
      </c>
      <c r="F215" s="1" t="s">
        <v>219</v>
      </c>
      <c r="G215" s="1">
        <v>111</v>
      </c>
      <c r="M215" s="8" t="s">
        <v>270</v>
      </c>
      <c r="N215" s="7">
        <v>10</v>
      </c>
      <c r="O215" s="7"/>
      <c r="P215" s="7">
        <v>10</v>
      </c>
      <c r="Q215" s="7"/>
      <c r="R215" s="7"/>
      <c r="S215" s="7"/>
      <c r="T215" s="7"/>
      <c r="U215" s="7"/>
      <c r="V215" s="7"/>
      <c r="W215" s="7"/>
      <c r="X215" s="7"/>
      <c r="Y215" s="7"/>
      <c r="Z215" s="7">
        <v>20</v>
      </c>
    </row>
    <row r="216" spans="4:26" ht="57.6" x14ac:dyDescent="0.3">
      <c r="D216" s="1">
        <v>1995</v>
      </c>
      <c r="E216" s="1">
        <v>1</v>
      </c>
      <c r="F216" s="1" t="s">
        <v>271</v>
      </c>
      <c r="G216" s="1">
        <v>95</v>
      </c>
      <c r="M216" s="8" t="s">
        <v>244</v>
      </c>
      <c r="N216" s="7">
        <v>40</v>
      </c>
      <c r="O216" s="7">
        <v>10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>
        <v>50</v>
      </c>
    </row>
    <row r="217" spans="4:26" ht="43.2" x14ac:dyDescent="0.3">
      <c r="D217" s="1">
        <v>1995</v>
      </c>
      <c r="E217" s="1">
        <v>1</v>
      </c>
      <c r="F217" s="1" t="s">
        <v>226</v>
      </c>
      <c r="G217" s="1">
        <v>87</v>
      </c>
      <c r="M217" s="8" t="s">
        <v>260</v>
      </c>
      <c r="N217" s="7">
        <v>73</v>
      </c>
      <c r="O217" s="7">
        <v>44</v>
      </c>
      <c r="P217" s="7">
        <v>58</v>
      </c>
      <c r="Q217" s="7"/>
      <c r="R217" s="7"/>
      <c r="S217" s="7"/>
      <c r="T217" s="7"/>
      <c r="U217" s="7"/>
      <c r="V217" s="7"/>
      <c r="W217" s="7"/>
      <c r="X217" s="7"/>
      <c r="Y217" s="7"/>
      <c r="Z217" s="7">
        <v>175</v>
      </c>
    </row>
    <row r="218" spans="4:26" ht="28.8" x14ac:dyDescent="0.3">
      <c r="D218" s="1">
        <v>1995</v>
      </c>
      <c r="E218" s="1">
        <v>1</v>
      </c>
      <c r="F218" s="1" t="s">
        <v>288</v>
      </c>
      <c r="G218" s="1">
        <v>84</v>
      </c>
      <c r="M218" s="8" t="s">
        <v>261</v>
      </c>
      <c r="N218" s="7">
        <v>34</v>
      </c>
      <c r="O218" s="7">
        <v>62</v>
      </c>
      <c r="P218" s="7">
        <v>25</v>
      </c>
      <c r="Q218" s="7"/>
      <c r="R218" s="7"/>
      <c r="S218" s="7"/>
      <c r="T218" s="7"/>
      <c r="U218" s="7"/>
      <c r="V218" s="7"/>
      <c r="W218" s="7"/>
      <c r="X218" s="7"/>
      <c r="Y218" s="7"/>
      <c r="Z218" s="7">
        <v>121</v>
      </c>
    </row>
    <row r="219" spans="4:26" x14ac:dyDescent="0.3">
      <c r="D219" s="1">
        <v>1995</v>
      </c>
      <c r="E219" s="1">
        <v>1</v>
      </c>
      <c r="F219" s="1" t="s">
        <v>273</v>
      </c>
      <c r="G219" s="1">
        <v>73</v>
      </c>
      <c r="M219" s="8" t="s">
        <v>229</v>
      </c>
      <c r="N219" s="7"/>
      <c r="O219" s="7">
        <v>5</v>
      </c>
      <c r="P219" s="7">
        <v>20</v>
      </c>
      <c r="Q219" s="7"/>
      <c r="R219" s="7"/>
      <c r="S219" s="7"/>
      <c r="T219" s="7"/>
      <c r="U219" s="7"/>
      <c r="V219" s="7"/>
      <c r="W219" s="7"/>
      <c r="X219" s="7"/>
      <c r="Y219" s="7"/>
      <c r="Z219" s="7">
        <v>25</v>
      </c>
    </row>
    <row r="220" spans="4:26" ht="28.8" x14ac:dyDescent="0.3">
      <c r="D220" s="1">
        <v>1995</v>
      </c>
      <c r="E220" s="1">
        <v>1</v>
      </c>
      <c r="F220" s="1" t="s">
        <v>248</v>
      </c>
      <c r="G220" s="1">
        <v>70</v>
      </c>
      <c r="M220" s="8" t="s">
        <v>257</v>
      </c>
      <c r="N220" s="7">
        <v>40</v>
      </c>
      <c r="O220" s="7"/>
      <c r="P220" s="7">
        <v>100</v>
      </c>
      <c r="Q220" s="7">
        <v>148</v>
      </c>
      <c r="R220" s="7"/>
      <c r="S220" s="7"/>
      <c r="T220" s="7"/>
      <c r="U220" s="7"/>
      <c r="V220" s="7"/>
      <c r="W220" s="7"/>
      <c r="X220" s="7"/>
      <c r="Y220" s="7"/>
      <c r="Z220" s="7">
        <v>288</v>
      </c>
    </row>
    <row r="221" spans="4:26" ht="43.2" x14ac:dyDescent="0.3">
      <c r="D221" s="1">
        <v>1995</v>
      </c>
      <c r="E221" s="1">
        <v>1</v>
      </c>
      <c r="F221" s="1" t="s">
        <v>233</v>
      </c>
      <c r="G221" s="1">
        <v>70</v>
      </c>
      <c r="M221" s="8" t="s">
        <v>242</v>
      </c>
      <c r="N221" s="7">
        <v>20</v>
      </c>
      <c r="O221" s="7">
        <v>30</v>
      </c>
      <c r="P221" s="7">
        <v>50</v>
      </c>
      <c r="Q221" s="7"/>
      <c r="R221" s="7"/>
      <c r="S221" s="7"/>
      <c r="T221" s="7"/>
      <c r="U221" s="7"/>
      <c r="V221" s="7"/>
      <c r="W221" s="7"/>
      <c r="X221" s="7"/>
      <c r="Y221" s="7"/>
      <c r="Z221" s="7">
        <v>100</v>
      </c>
    </row>
    <row r="222" spans="4:26" ht="43.2" x14ac:dyDescent="0.3">
      <c r="D222" s="1">
        <v>1995</v>
      </c>
      <c r="E222" s="1">
        <v>1</v>
      </c>
      <c r="F222" s="1" t="s">
        <v>260</v>
      </c>
      <c r="G222" s="1">
        <v>68</v>
      </c>
      <c r="M222" s="8" t="s">
        <v>273</v>
      </c>
      <c r="N222" s="7"/>
      <c r="O222" s="7">
        <v>35</v>
      </c>
      <c r="P222" s="7">
        <v>21</v>
      </c>
      <c r="Q222" s="7"/>
      <c r="R222" s="7"/>
      <c r="S222" s="7"/>
      <c r="T222" s="7"/>
      <c r="U222" s="7"/>
      <c r="V222" s="7"/>
      <c r="W222" s="7"/>
      <c r="X222" s="7"/>
      <c r="Y222" s="7"/>
      <c r="Z222" s="7">
        <v>56</v>
      </c>
    </row>
    <row r="223" spans="4:26" ht="28.8" x14ac:dyDescent="0.3">
      <c r="D223" s="1">
        <v>1995</v>
      </c>
      <c r="E223" s="1">
        <v>1</v>
      </c>
      <c r="F223" s="1" t="s">
        <v>254</v>
      </c>
      <c r="G223" s="1">
        <v>60</v>
      </c>
      <c r="M223" s="8" t="s">
        <v>248</v>
      </c>
      <c r="N223" s="7">
        <v>15</v>
      </c>
      <c r="O223" s="7">
        <v>59</v>
      </c>
      <c r="P223" s="7">
        <v>37</v>
      </c>
      <c r="Q223" s="7"/>
      <c r="R223" s="7"/>
      <c r="S223" s="7"/>
      <c r="T223" s="7"/>
      <c r="U223" s="7"/>
      <c r="V223" s="7"/>
      <c r="W223" s="7"/>
      <c r="X223" s="7"/>
      <c r="Y223" s="7"/>
      <c r="Z223" s="7">
        <v>111</v>
      </c>
    </row>
    <row r="224" spans="4:26" x14ac:dyDescent="0.3">
      <c r="D224" s="1">
        <v>1995</v>
      </c>
      <c r="E224" s="1">
        <v>1</v>
      </c>
      <c r="F224" s="1" t="s">
        <v>291</v>
      </c>
      <c r="G224" s="1">
        <v>60</v>
      </c>
      <c r="M224" s="8" t="s">
        <v>220</v>
      </c>
      <c r="N224" s="7">
        <v>42</v>
      </c>
      <c r="O224" s="7">
        <v>98</v>
      </c>
      <c r="P224" s="7">
        <v>64</v>
      </c>
      <c r="Q224" s="7">
        <v>156</v>
      </c>
      <c r="R224" s="7"/>
      <c r="S224" s="7"/>
      <c r="T224" s="7"/>
      <c r="U224" s="7"/>
      <c r="V224" s="7"/>
      <c r="W224" s="7"/>
      <c r="X224" s="7"/>
      <c r="Y224" s="7"/>
      <c r="Z224" s="7">
        <v>360</v>
      </c>
    </row>
    <row r="225" spans="4:26" ht="28.8" x14ac:dyDescent="0.3">
      <c r="D225" s="1">
        <v>1995</v>
      </c>
      <c r="E225" s="1">
        <v>1</v>
      </c>
      <c r="F225" s="1" t="s">
        <v>228</v>
      </c>
      <c r="G225" s="1">
        <v>58</v>
      </c>
      <c r="M225" s="8" t="s">
        <v>272</v>
      </c>
      <c r="N225" s="7">
        <v>74</v>
      </c>
      <c r="O225" s="7">
        <v>29</v>
      </c>
      <c r="P225" s="7">
        <v>37</v>
      </c>
      <c r="Q225" s="7"/>
      <c r="R225" s="7"/>
      <c r="S225" s="7"/>
      <c r="T225" s="7"/>
      <c r="U225" s="7"/>
      <c r="V225" s="7"/>
      <c r="W225" s="7"/>
      <c r="X225" s="7"/>
      <c r="Y225" s="7"/>
      <c r="Z225" s="7">
        <v>140</v>
      </c>
    </row>
    <row r="226" spans="4:26" x14ac:dyDescent="0.3">
      <c r="D226" s="1">
        <v>1995</v>
      </c>
      <c r="E226" s="1">
        <v>1</v>
      </c>
      <c r="F226" s="1" t="s">
        <v>266</v>
      </c>
      <c r="G226" s="1">
        <v>57</v>
      </c>
      <c r="M226" s="8" t="s">
        <v>217</v>
      </c>
      <c r="N226" s="7">
        <v>72</v>
      </c>
      <c r="O226" s="7">
        <v>18</v>
      </c>
      <c r="P226" s="7">
        <v>164</v>
      </c>
      <c r="Q226" s="7"/>
      <c r="R226" s="7"/>
      <c r="S226" s="7"/>
      <c r="T226" s="7"/>
      <c r="U226" s="7"/>
      <c r="V226" s="7"/>
      <c r="W226" s="7"/>
      <c r="X226" s="7"/>
      <c r="Y226" s="7"/>
      <c r="Z226" s="7">
        <v>254</v>
      </c>
    </row>
    <row r="227" spans="4:26" x14ac:dyDescent="0.3">
      <c r="D227" s="1">
        <v>1995</v>
      </c>
      <c r="E227" s="1">
        <v>1</v>
      </c>
      <c r="F227" s="1" t="s">
        <v>275</v>
      </c>
      <c r="G227" s="1">
        <v>48</v>
      </c>
      <c r="M227" s="8" t="s">
        <v>266</v>
      </c>
      <c r="N227" s="7">
        <v>15</v>
      </c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>
        <v>15</v>
      </c>
    </row>
    <row r="228" spans="4:26" ht="28.8" x14ac:dyDescent="0.3">
      <c r="D228" s="1">
        <v>1995</v>
      </c>
      <c r="E228" s="1">
        <v>1</v>
      </c>
      <c r="F228" s="1" t="s">
        <v>216</v>
      </c>
      <c r="G228" s="1">
        <v>40</v>
      </c>
      <c r="M228" s="8" t="s">
        <v>276</v>
      </c>
      <c r="N228" s="7">
        <v>19</v>
      </c>
      <c r="O228" s="7">
        <v>35</v>
      </c>
      <c r="P228" s="7">
        <v>42</v>
      </c>
      <c r="Q228" s="7"/>
      <c r="R228" s="7"/>
      <c r="S228" s="7"/>
      <c r="T228" s="7"/>
      <c r="U228" s="7"/>
      <c r="V228" s="7"/>
      <c r="W228" s="7"/>
      <c r="X228" s="7"/>
      <c r="Y228" s="7"/>
      <c r="Z228" s="7">
        <v>96</v>
      </c>
    </row>
    <row r="229" spans="4:26" ht="57.6" x14ac:dyDescent="0.3">
      <c r="D229" s="1">
        <v>1995</v>
      </c>
      <c r="E229" s="1">
        <v>1</v>
      </c>
      <c r="F229" s="1" t="s">
        <v>229</v>
      </c>
      <c r="G229" s="1">
        <v>40</v>
      </c>
      <c r="M229" s="8" t="s">
        <v>277</v>
      </c>
      <c r="N229" s="7"/>
      <c r="O229" s="7">
        <v>88</v>
      </c>
      <c r="P229" s="7">
        <v>80</v>
      </c>
      <c r="Q229" s="7"/>
      <c r="R229" s="7"/>
      <c r="S229" s="7"/>
      <c r="T229" s="7"/>
      <c r="U229" s="7"/>
      <c r="V229" s="7"/>
      <c r="W229" s="7"/>
      <c r="X229" s="7"/>
      <c r="Y229" s="7"/>
      <c r="Z229" s="7">
        <v>168</v>
      </c>
    </row>
    <row r="230" spans="4:26" ht="28.8" x14ac:dyDescent="0.3">
      <c r="D230" s="1">
        <v>1995</v>
      </c>
      <c r="E230" s="1">
        <v>1</v>
      </c>
      <c r="F230" s="1" t="s">
        <v>277</v>
      </c>
      <c r="G230" s="1">
        <v>40</v>
      </c>
      <c r="M230" s="8" t="s">
        <v>231</v>
      </c>
      <c r="N230" s="7">
        <v>38</v>
      </c>
      <c r="O230" s="7">
        <v>25</v>
      </c>
      <c r="P230" s="7">
        <v>32</v>
      </c>
      <c r="Q230" s="7">
        <v>217</v>
      </c>
      <c r="R230" s="7"/>
      <c r="S230" s="7"/>
      <c r="T230" s="7"/>
      <c r="U230" s="7"/>
      <c r="V230" s="7"/>
      <c r="W230" s="7"/>
      <c r="X230" s="7"/>
      <c r="Y230" s="7"/>
      <c r="Z230" s="7">
        <v>312</v>
      </c>
    </row>
    <row r="231" spans="4:26" ht="43.2" x14ac:dyDescent="0.3">
      <c r="D231" s="1">
        <v>1995</v>
      </c>
      <c r="E231" s="1">
        <v>1</v>
      </c>
      <c r="F231" s="1" t="s">
        <v>221</v>
      </c>
      <c r="G231" s="1">
        <v>38</v>
      </c>
      <c r="M231" s="8" t="s">
        <v>240</v>
      </c>
      <c r="N231" s="7">
        <v>30</v>
      </c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>
        <v>30</v>
      </c>
    </row>
    <row r="232" spans="4:26" ht="28.8" x14ac:dyDescent="0.3">
      <c r="D232" s="1">
        <v>1995</v>
      </c>
      <c r="E232" s="1">
        <v>1</v>
      </c>
      <c r="F232" s="1" t="s">
        <v>241</v>
      </c>
      <c r="G232" s="1">
        <v>35</v>
      </c>
      <c r="M232" s="8" t="s">
        <v>230</v>
      </c>
      <c r="N232" s="7">
        <v>35</v>
      </c>
      <c r="O232" s="7">
        <v>111</v>
      </c>
      <c r="P232" s="7">
        <v>35</v>
      </c>
      <c r="Q232" s="7"/>
      <c r="R232" s="7"/>
      <c r="S232" s="7"/>
      <c r="T232" s="7"/>
      <c r="U232" s="7"/>
      <c r="V232" s="7"/>
      <c r="W232" s="7"/>
      <c r="X232" s="7"/>
      <c r="Y232" s="7"/>
      <c r="Z232" s="7">
        <v>181</v>
      </c>
    </row>
    <row r="233" spans="4:26" ht="57.6" x14ac:dyDescent="0.3">
      <c r="D233" s="1">
        <v>1995</v>
      </c>
      <c r="E233" s="1">
        <v>1</v>
      </c>
      <c r="F233" s="1" t="s">
        <v>217</v>
      </c>
      <c r="G233" s="1">
        <v>34</v>
      </c>
      <c r="M233" s="8" t="s">
        <v>280</v>
      </c>
      <c r="N233" s="7">
        <v>30</v>
      </c>
      <c r="O233" s="7">
        <v>40</v>
      </c>
      <c r="P233" s="7">
        <v>21</v>
      </c>
      <c r="Q233" s="7"/>
      <c r="R233" s="7"/>
      <c r="S233" s="7"/>
      <c r="T233" s="7"/>
      <c r="U233" s="7"/>
      <c r="V233" s="7"/>
      <c r="W233" s="7"/>
      <c r="X233" s="7"/>
      <c r="Y233" s="7"/>
      <c r="Z233" s="7">
        <v>91</v>
      </c>
    </row>
    <row r="234" spans="4:26" ht="57.6" x14ac:dyDescent="0.3">
      <c r="D234" s="1">
        <v>1995</v>
      </c>
      <c r="E234" s="1">
        <v>1</v>
      </c>
      <c r="F234" s="1" t="s">
        <v>274</v>
      </c>
      <c r="G234" s="1">
        <v>32</v>
      </c>
      <c r="M234" s="6" t="s">
        <v>13</v>
      </c>
      <c r="N234" s="7">
        <v>4882</v>
      </c>
      <c r="O234" s="7">
        <v>5244</v>
      </c>
      <c r="P234" s="7">
        <v>5870</v>
      </c>
      <c r="Q234" s="7">
        <v>3313</v>
      </c>
      <c r="R234" s="7">
        <v>2060</v>
      </c>
      <c r="S234" s="7">
        <v>2164</v>
      </c>
      <c r="T234" s="7">
        <v>1635</v>
      </c>
      <c r="U234" s="7">
        <v>3516</v>
      </c>
      <c r="V234" s="7">
        <v>3183</v>
      </c>
      <c r="W234" s="7">
        <v>3467</v>
      </c>
      <c r="X234" s="7">
        <v>4326</v>
      </c>
      <c r="Y234" s="7">
        <v>3682</v>
      </c>
      <c r="Z234" s="7">
        <v>43342</v>
      </c>
    </row>
    <row r="235" spans="4:26" ht="57.6" x14ac:dyDescent="0.3">
      <c r="D235" s="1">
        <v>1995</v>
      </c>
      <c r="E235" s="1">
        <v>1</v>
      </c>
      <c r="F235" s="1" t="s">
        <v>230</v>
      </c>
      <c r="G235" s="1">
        <v>30</v>
      </c>
    </row>
    <row r="236" spans="4:26" ht="43.2" x14ac:dyDescent="0.3">
      <c r="D236" s="1">
        <v>1995</v>
      </c>
      <c r="E236" s="1">
        <v>1</v>
      </c>
      <c r="F236" s="1" t="s">
        <v>278</v>
      </c>
      <c r="G236" s="1">
        <v>30</v>
      </c>
    </row>
    <row r="237" spans="4:26" ht="28.8" x14ac:dyDescent="0.3">
      <c r="D237" s="1">
        <v>1995</v>
      </c>
      <c r="E237" s="1">
        <v>1</v>
      </c>
      <c r="F237" s="1" t="s">
        <v>220</v>
      </c>
      <c r="G237" s="1">
        <v>30</v>
      </c>
    </row>
    <row r="238" spans="4:26" ht="43.2" x14ac:dyDescent="0.3">
      <c r="D238" s="1">
        <v>1995</v>
      </c>
      <c r="E238" s="1">
        <v>1</v>
      </c>
      <c r="F238" s="1" t="s">
        <v>225</v>
      </c>
      <c r="G238" s="1">
        <v>26</v>
      </c>
    </row>
    <row r="239" spans="4:26" x14ac:dyDescent="0.3">
      <c r="D239" s="1">
        <v>1995</v>
      </c>
      <c r="E239" s="1">
        <v>1</v>
      </c>
      <c r="F239" s="1" t="s">
        <v>239</v>
      </c>
      <c r="G239" s="1">
        <v>25</v>
      </c>
    </row>
    <row r="240" spans="4:26" ht="28.8" x14ac:dyDescent="0.3">
      <c r="D240" s="1">
        <v>1995</v>
      </c>
      <c r="E240" s="1">
        <v>1</v>
      </c>
      <c r="F240" s="1" t="s">
        <v>252</v>
      </c>
      <c r="G240" s="1">
        <v>20</v>
      </c>
    </row>
    <row r="241" spans="4:7" ht="57.6" x14ac:dyDescent="0.3">
      <c r="D241" s="1">
        <v>1995</v>
      </c>
      <c r="E241" s="1">
        <v>1</v>
      </c>
      <c r="F241" s="1" t="s">
        <v>246</v>
      </c>
      <c r="G241" s="1">
        <v>20</v>
      </c>
    </row>
    <row r="242" spans="4:7" x14ac:dyDescent="0.3">
      <c r="D242" s="1">
        <v>1995</v>
      </c>
      <c r="E242" s="1">
        <v>1</v>
      </c>
      <c r="F242" s="1" t="s">
        <v>285</v>
      </c>
      <c r="G242" s="1">
        <v>20</v>
      </c>
    </row>
    <row r="243" spans="4:7" ht="43.2" x14ac:dyDescent="0.3">
      <c r="D243" s="1">
        <v>1995</v>
      </c>
      <c r="E243" s="1">
        <v>1</v>
      </c>
      <c r="F243" s="1" t="s">
        <v>245</v>
      </c>
      <c r="G243" s="1">
        <v>18</v>
      </c>
    </row>
    <row r="244" spans="4:7" ht="43.2" x14ac:dyDescent="0.3">
      <c r="D244" s="1">
        <v>1995</v>
      </c>
      <c r="E244" s="1">
        <v>1</v>
      </c>
      <c r="F244" s="1" t="s">
        <v>222</v>
      </c>
      <c r="G244" s="1">
        <v>18</v>
      </c>
    </row>
    <row r="245" spans="4:7" ht="28.8" x14ac:dyDescent="0.3">
      <c r="D245" s="1">
        <v>1995</v>
      </c>
      <c r="E245" s="1">
        <v>1</v>
      </c>
      <c r="F245" s="1" t="s">
        <v>240</v>
      </c>
      <c r="G245" s="1">
        <v>16</v>
      </c>
    </row>
    <row r="246" spans="4:7" x14ac:dyDescent="0.3">
      <c r="D246" s="1">
        <v>1995</v>
      </c>
      <c r="E246" s="1">
        <v>1</v>
      </c>
      <c r="F246" s="1" t="s">
        <v>232</v>
      </c>
      <c r="G246" s="1">
        <v>16</v>
      </c>
    </row>
    <row r="247" spans="4:7" x14ac:dyDescent="0.3">
      <c r="D247" s="1">
        <v>1995</v>
      </c>
      <c r="E247" s="1">
        <v>1</v>
      </c>
      <c r="F247" s="1" t="s">
        <v>249</v>
      </c>
      <c r="G247" s="1">
        <v>15</v>
      </c>
    </row>
    <row r="248" spans="4:7" ht="28.8" x14ac:dyDescent="0.3">
      <c r="D248" s="1">
        <v>1995</v>
      </c>
      <c r="E248" s="1">
        <v>1</v>
      </c>
      <c r="F248" s="1" t="s">
        <v>284</v>
      </c>
      <c r="G248" s="1">
        <v>15</v>
      </c>
    </row>
    <row r="249" spans="4:7" ht="28.8" x14ac:dyDescent="0.3">
      <c r="D249" s="1">
        <v>1995</v>
      </c>
      <c r="E249" s="1">
        <v>1</v>
      </c>
      <c r="F249" s="1" t="s">
        <v>279</v>
      </c>
      <c r="G249" s="1">
        <v>15</v>
      </c>
    </row>
    <row r="250" spans="4:7" ht="72" x14ac:dyDescent="0.3">
      <c r="D250" s="1">
        <v>1995</v>
      </c>
      <c r="E250" s="1">
        <v>1</v>
      </c>
      <c r="F250" s="1" t="s">
        <v>256</v>
      </c>
      <c r="G250" s="1">
        <v>14</v>
      </c>
    </row>
    <row r="251" spans="4:7" ht="43.2" x14ac:dyDescent="0.3">
      <c r="D251" s="1">
        <v>1995</v>
      </c>
      <c r="E251" s="1">
        <v>1</v>
      </c>
      <c r="F251" s="1" t="s">
        <v>218</v>
      </c>
      <c r="G251" s="1">
        <v>12</v>
      </c>
    </row>
    <row r="252" spans="4:7" ht="28.8" x14ac:dyDescent="0.3">
      <c r="D252" s="1">
        <v>1995</v>
      </c>
      <c r="E252" s="1">
        <v>1</v>
      </c>
      <c r="F252" s="1" t="s">
        <v>276</v>
      </c>
      <c r="G252" s="1">
        <v>10</v>
      </c>
    </row>
    <row r="253" spans="4:7" ht="72" x14ac:dyDescent="0.3">
      <c r="D253" s="1">
        <v>1995</v>
      </c>
      <c r="E253" s="1">
        <v>1</v>
      </c>
      <c r="F253" s="1" t="s">
        <v>231</v>
      </c>
      <c r="G253" s="1">
        <v>10</v>
      </c>
    </row>
    <row r="254" spans="4:7" ht="28.8" x14ac:dyDescent="0.3">
      <c r="D254" s="1">
        <v>1995</v>
      </c>
      <c r="E254" s="1">
        <v>1</v>
      </c>
      <c r="F254" s="1" t="s">
        <v>270</v>
      </c>
      <c r="G254" s="1">
        <v>10</v>
      </c>
    </row>
    <row r="255" spans="4:7" ht="43.2" x14ac:dyDescent="0.3">
      <c r="D255" s="1">
        <v>1995</v>
      </c>
      <c r="E255" s="1">
        <v>1</v>
      </c>
      <c r="F255" s="1" t="s">
        <v>257</v>
      </c>
      <c r="G255" s="1">
        <v>10</v>
      </c>
    </row>
    <row r="256" spans="4:7" ht="28.8" x14ac:dyDescent="0.3">
      <c r="D256" s="1">
        <v>1995</v>
      </c>
      <c r="E256" s="1">
        <v>1</v>
      </c>
      <c r="F256" s="1" t="s">
        <v>224</v>
      </c>
      <c r="G256" s="1">
        <v>9</v>
      </c>
    </row>
    <row r="257" spans="4:7" ht="72" x14ac:dyDescent="0.3">
      <c r="D257" s="1">
        <v>1995</v>
      </c>
      <c r="E257" s="1">
        <v>1</v>
      </c>
      <c r="F257" s="1" t="s">
        <v>263</v>
      </c>
      <c r="G257" s="1">
        <v>8</v>
      </c>
    </row>
    <row r="258" spans="4:7" ht="57.6" x14ac:dyDescent="0.3">
      <c r="D258" s="1">
        <v>1995</v>
      </c>
      <c r="E258" s="1">
        <v>1</v>
      </c>
      <c r="F258" s="1" t="s">
        <v>282</v>
      </c>
      <c r="G258" s="1">
        <v>7</v>
      </c>
    </row>
    <row r="259" spans="4:7" x14ac:dyDescent="0.3">
      <c r="D259" s="1">
        <v>1995</v>
      </c>
      <c r="E259" s="1">
        <v>1</v>
      </c>
      <c r="F259" s="1" t="s">
        <v>247</v>
      </c>
      <c r="G259" s="1">
        <v>6</v>
      </c>
    </row>
    <row r="260" spans="4:7" x14ac:dyDescent="0.3">
      <c r="D260" s="1">
        <v>1995</v>
      </c>
      <c r="E260" s="1">
        <v>2</v>
      </c>
      <c r="F260" s="1" t="s">
        <v>291</v>
      </c>
      <c r="G260" s="1">
        <v>119</v>
      </c>
    </row>
    <row r="261" spans="4:7" ht="28.8" x14ac:dyDescent="0.3">
      <c r="D261" s="1">
        <v>1995</v>
      </c>
      <c r="E261" s="1">
        <v>2</v>
      </c>
      <c r="F261" s="1" t="s">
        <v>216</v>
      </c>
      <c r="G261" s="1">
        <v>99</v>
      </c>
    </row>
    <row r="262" spans="4:7" ht="28.8" x14ac:dyDescent="0.3">
      <c r="D262" s="1">
        <v>1995</v>
      </c>
      <c r="E262" s="1">
        <v>2</v>
      </c>
      <c r="F262" s="1" t="s">
        <v>248</v>
      </c>
      <c r="G262" s="1">
        <v>95</v>
      </c>
    </row>
    <row r="263" spans="4:7" ht="28.8" x14ac:dyDescent="0.3">
      <c r="D263" s="1">
        <v>1995</v>
      </c>
      <c r="E263" s="1">
        <v>2</v>
      </c>
      <c r="F263" s="1" t="s">
        <v>235</v>
      </c>
      <c r="G263" s="1">
        <v>75</v>
      </c>
    </row>
    <row r="264" spans="4:7" ht="43.2" x14ac:dyDescent="0.3">
      <c r="D264" s="1">
        <v>1995</v>
      </c>
      <c r="E264" s="1">
        <v>2</v>
      </c>
      <c r="F264" s="1" t="s">
        <v>221</v>
      </c>
      <c r="G264" s="1">
        <v>75</v>
      </c>
    </row>
    <row r="265" spans="4:7" ht="28.8" x14ac:dyDescent="0.3">
      <c r="D265" s="1">
        <v>1995</v>
      </c>
      <c r="E265" s="1">
        <v>2</v>
      </c>
      <c r="F265" s="1" t="s">
        <v>220</v>
      </c>
      <c r="G265" s="1">
        <v>75</v>
      </c>
    </row>
    <row r="266" spans="4:7" ht="28.8" x14ac:dyDescent="0.3">
      <c r="D266" s="1">
        <v>1995</v>
      </c>
      <c r="E266" s="1">
        <v>2</v>
      </c>
      <c r="F266" s="1" t="s">
        <v>292</v>
      </c>
      <c r="G266" s="1">
        <v>70</v>
      </c>
    </row>
    <row r="267" spans="4:7" x14ac:dyDescent="0.3">
      <c r="D267" s="1">
        <v>1995</v>
      </c>
      <c r="E267" s="1">
        <v>2</v>
      </c>
      <c r="F267" s="1" t="s">
        <v>266</v>
      </c>
      <c r="G267" s="1">
        <v>67</v>
      </c>
    </row>
    <row r="268" spans="4:7" ht="43.2" x14ac:dyDescent="0.3">
      <c r="D268" s="1">
        <v>1995</v>
      </c>
      <c r="E268" s="1">
        <v>2</v>
      </c>
      <c r="F268" s="1" t="s">
        <v>260</v>
      </c>
      <c r="G268" s="1">
        <v>66</v>
      </c>
    </row>
    <row r="269" spans="4:7" ht="28.8" x14ac:dyDescent="0.3">
      <c r="D269" s="1">
        <v>1995</v>
      </c>
      <c r="E269" s="1">
        <v>2</v>
      </c>
      <c r="F269" s="1" t="s">
        <v>240</v>
      </c>
      <c r="G269" s="1">
        <v>65</v>
      </c>
    </row>
    <row r="270" spans="4:7" ht="43.2" x14ac:dyDescent="0.3">
      <c r="D270" s="1">
        <v>1995</v>
      </c>
      <c r="E270" s="1">
        <v>2</v>
      </c>
      <c r="F270" s="1" t="s">
        <v>233</v>
      </c>
      <c r="G270" s="1">
        <v>62</v>
      </c>
    </row>
    <row r="271" spans="4:7" x14ac:dyDescent="0.3">
      <c r="D271" s="1">
        <v>1995</v>
      </c>
      <c r="E271" s="1">
        <v>2</v>
      </c>
      <c r="F271" s="1" t="s">
        <v>258</v>
      </c>
      <c r="G271" s="1">
        <v>60</v>
      </c>
    </row>
    <row r="272" spans="4:7" ht="28.8" x14ac:dyDescent="0.3">
      <c r="D272" s="1">
        <v>1995</v>
      </c>
      <c r="E272" s="1">
        <v>2</v>
      </c>
      <c r="F272" s="1" t="s">
        <v>277</v>
      </c>
      <c r="G272" s="1">
        <v>60</v>
      </c>
    </row>
    <row r="273" spans="4:7" x14ac:dyDescent="0.3">
      <c r="D273" s="1">
        <v>1995</v>
      </c>
      <c r="E273" s="1">
        <v>2</v>
      </c>
      <c r="F273" s="1" t="s">
        <v>239</v>
      </c>
      <c r="G273" s="1">
        <v>60</v>
      </c>
    </row>
    <row r="274" spans="4:7" ht="43.2" x14ac:dyDescent="0.3">
      <c r="D274" s="1">
        <v>1995</v>
      </c>
      <c r="E274" s="1">
        <v>2</v>
      </c>
      <c r="F274" s="1" t="s">
        <v>219</v>
      </c>
      <c r="G274" s="1">
        <v>60</v>
      </c>
    </row>
    <row r="275" spans="4:7" ht="28.8" x14ac:dyDescent="0.3">
      <c r="D275" s="1">
        <v>1995</v>
      </c>
      <c r="E275" s="1">
        <v>2</v>
      </c>
      <c r="F275" s="1" t="s">
        <v>280</v>
      </c>
      <c r="G275" s="1">
        <v>55</v>
      </c>
    </row>
    <row r="276" spans="4:7" ht="28.8" x14ac:dyDescent="0.3">
      <c r="D276" s="1">
        <v>1995</v>
      </c>
      <c r="E276" s="1">
        <v>2</v>
      </c>
      <c r="F276" s="1" t="s">
        <v>286</v>
      </c>
      <c r="G276" s="1">
        <v>50</v>
      </c>
    </row>
    <row r="277" spans="4:7" ht="43.2" x14ac:dyDescent="0.3">
      <c r="D277" s="1">
        <v>1995</v>
      </c>
      <c r="E277" s="1">
        <v>2</v>
      </c>
      <c r="F277" s="1" t="s">
        <v>218</v>
      </c>
      <c r="G277" s="1">
        <v>45</v>
      </c>
    </row>
    <row r="278" spans="4:7" ht="72" x14ac:dyDescent="0.3">
      <c r="D278" s="1">
        <v>1995</v>
      </c>
      <c r="E278" s="1">
        <v>2</v>
      </c>
      <c r="F278" s="1" t="s">
        <v>256</v>
      </c>
      <c r="G278" s="1">
        <v>45</v>
      </c>
    </row>
    <row r="279" spans="4:7" ht="43.2" x14ac:dyDescent="0.3">
      <c r="D279" s="1">
        <v>1995</v>
      </c>
      <c r="E279" s="1">
        <v>2</v>
      </c>
      <c r="F279" s="1" t="s">
        <v>225</v>
      </c>
      <c r="G279" s="1">
        <v>42</v>
      </c>
    </row>
    <row r="280" spans="4:7" ht="43.2" x14ac:dyDescent="0.3">
      <c r="D280" s="1">
        <v>1995</v>
      </c>
      <c r="E280" s="1">
        <v>2</v>
      </c>
      <c r="F280" s="1" t="s">
        <v>257</v>
      </c>
      <c r="G280" s="1">
        <v>42</v>
      </c>
    </row>
    <row r="281" spans="4:7" ht="43.2" x14ac:dyDescent="0.3">
      <c r="D281" s="1">
        <v>1995</v>
      </c>
      <c r="E281" s="1">
        <v>2</v>
      </c>
      <c r="F281" s="1" t="s">
        <v>272</v>
      </c>
      <c r="G281" s="1">
        <v>42</v>
      </c>
    </row>
    <row r="282" spans="4:7" ht="57.6" x14ac:dyDescent="0.3">
      <c r="D282" s="1">
        <v>1995</v>
      </c>
      <c r="E282" s="1">
        <v>2</v>
      </c>
      <c r="F282" s="1" t="s">
        <v>261</v>
      </c>
      <c r="G282" s="1">
        <v>40</v>
      </c>
    </row>
    <row r="283" spans="4:7" ht="28.8" x14ac:dyDescent="0.3">
      <c r="D283" s="1">
        <v>1995</v>
      </c>
      <c r="E283" s="1">
        <v>2</v>
      </c>
      <c r="F283" s="1" t="s">
        <v>255</v>
      </c>
      <c r="G283" s="1">
        <v>40</v>
      </c>
    </row>
    <row r="284" spans="4:7" ht="28.8" x14ac:dyDescent="0.3">
      <c r="D284" s="1">
        <v>1995</v>
      </c>
      <c r="E284" s="1">
        <v>2</v>
      </c>
      <c r="F284" s="1" t="s">
        <v>228</v>
      </c>
      <c r="G284" s="1">
        <v>35</v>
      </c>
    </row>
    <row r="285" spans="4:7" x14ac:dyDescent="0.3">
      <c r="D285" s="1">
        <v>1995</v>
      </c>
      <c r="E285" s="1">
        <v>2</v>
      </c>
      <c r="F285" s="1" t="s">
        <v>249</v>
      </c>
      <c r="G285" s="1">
        <v>34</v>
      </c>
    </row>
    <row r="286" spans="4:7" ht="28.8" x14ac:dyDescent="0.3">
      <c r="D286" s="1">
        <v>1995</v>
      </c>
      <c r="E286" s="1">
        <v>2</v>
      </c>
      <c r="F286" s="1" t="s">
        <v>241</v>
      </c>
      <c r="G286" s="1">
        <v>34</v>
      </c>
    </row>
    <row r="287" spans="4:7" ht="28.8" x14ac:dyDescent="0.3">
      <c r="D287" s="1">
        <v>1995</v>
      </c>
      <c r="E287" s="1">
        <v>2</v>
      </c>
      <c r="F287" s="1" t="s">
        <v>250</v>
      </c>
      <c r="G287" s="1">
        <v>30</v>
      </c>
    </row>
    <row r="288" spans="4:7" ht="72" x14ac:dyDescent="0.3">
      <c r="D288" s="1">
        <v>1995</v>
      </c>
      <c r="E288" s="1">
        <v>2</v>
      </c>
      <c r="F288" s="1" t="s">
        <v>263</v>
      </c>
      <c r="G288" s="1">
        <v>25</v>
      </c>
    </row>
    <row r="289" spans="4:7" ht="28.8" x14ac:dyDescent="0.3">
      <c r="D289" s="1">
        <v>1995</v>
      </c>
      <c r="E289" s="1">
        <v>2</v>
      </c>
      <c r="F289" s="1" t="s">
        <v>234</v>
      </c>
      <c r="G289" s="1">
        <v>25</v>
      </c>
    </row>
    <row r="290" spans="4:7" x14ac:dyDescent="0.3">
      <c r="D290" s="1">
        <v>1995</v>
      </c>
      <c r="E290" s="1">
        <v>2</v>
      </c>
      <c r="F290" s="1" t="s">
        <v>273</v>
      </c>
      <c r="G290" s="1">
        <v>22</v>
      </c>
    </row>
    <row r="291" spans="4:7" ht="57.6" x14ac:dyDescent="0.3">
      <c r="D291" s="1">
        <v>1995</v>
      </c>
      <c r="E291" s="1">
        <v>2</v>
      </c>
      <c r="F291" s="1" t="s">
        <v>217</v>
      </c>
      <c r="G291" s="1">
        <v>21</v>
      </c>
    </row>
    <row r="292" spans="4:7" x14ac:dyDescent="0.3">
      <c r="D292" s="1">
        <v>1995</v>
      </c>
      <c r="E292" s="1">
        <v>2</v>
      </c>
      <c r="F292" s="1" t="s">
        <v>238</v>
      </c>
      <c r="G292" s="1">
        <v>21</v>
      </c>
    </row>
    <row r="293" spans="4:7" ht="57.6" x14ac:dyDescent="0.3">
      <c r="D293" s="1">
        <v>1995</v>
      </c>
      <c r="E293" s="1">
        <v>2</v>
      </c>
      <c r="F293" s="1" t="s">
        <v>246</v>
      </c>
      <c r="G293" s="1">
        <v>20</v>
      </c>
    </row>
    <row r="294" spans="4:7" ht="28.8" x14ac:dyDescent="0.3">
      <c r="D294" s="1">
        <v>1995</v>
      </c>
      <c r="E294" s="1">
        <v>2</v>
      </c>
      <c r="F294" s="1" t="s">
        <v>267</v>
      </c>
      <c r="G294" s="1">
        <v>20</v>
      </c>
    </row>
    <row r="295" spans="4:7" ht="28.8" x14ac:dyDescent="0.3">
      <c r="D295" s="1">
        <v>1995</v>
      </c>
      <c r="E295" s="1">
        <v>2</v>
      </c>
      <c r="F295" s="1" t="s">
        <v>281</v>
      </c>
      <c r="G295" s="1">
        <v>20</v>
      </c>
    </row>
    <row r="296" spans="4:7" ht="43.2" x14ac:dyDescent="0.3">
      <c r="D296" s="1">
        <v>1995</v>
      </c>
      <c r="E296" s="1">
        <v>2</v>
      </c>
      <c r="F296" s="1" t="s">
        <v>264</v>
      </c>
      <c r="G296" s="1">
        <v>20</v>
      </c>
    </row>
    <row r="297" spans="4:7" ht="43.2" x14ac:dyDescent="0.3">
      <c r="D297" s="1">
        <v>1995</v>
      </c>
      <c r="E297" s="1">
        <v>2</v>
      </c>
      <c r="F297" s="1" t="s">
        <v>245</v>
      </c>
      <c r="G297" s="1">
        <v>18</v>
      </c>
    </row>
    <row r="298" spans="4:7" ht="28.8" x14ac:dyDescent="0.3">
      <c r="D298" s="1">
        <v>1995</v>
      </c>
      <c r="E298" s="1">
        <v>2</v>
      </c>
      <c r="F298" s="1" t="s">
        <v>242</v>
      </c>
      <c r="G298" s="1">
        <v>16</v>
      </c>
    </row>
    <row r="299" spans="4:7" ht="28.8" x14ac:dyDescent="0.3">
      <c r="D299" s="1">
        <v>1995</v>
      </c>
      <c r="E299" s="1">
        <v>2</v>
      </c>
      <c r="F299" s="1" t="s">
        <v>288</v>
      </c>
      <c r="G299" s="1">
        <v>15</v>
      </c>
    </row>
    <row r="300" spans="4:7" ht="28.8" x14ac:dyDescent="0.3">
      <c r="D300" s="1">
        <v>1995</v>
      </c>
      <c r="E300" s="1">
        <v>2</v>
      </c>
      <c r="F300" s="1" t="s">
        <v>243</v>
      </c>
      <c r="G300" s="1">
        <v>14</v>
      </c>
    </row>
    <row r="301" spans="4:7" ht="28.8" x14ac:dyDescent="0.3">
      <c r="D301" s="1">
        <v>1995</v>
      </c>
      <c r="E301" s="1">
        <v>2</v>
      </c>
      <c r="F301" s="1" t="s">
        <v>287</v>
      </c>
      <c r="G301" s="1">
        <v>10</v>
      </c>
    </row>
    <row r="302" spans="4:7" ht="28.8" x14ac:dyDescent="0.3">
      <c r="D302" s="1">
        <v>1995</v>
      </c>
      <c r="E302" s="1">
        <v>2</v>
      </c>
      <c r="F302" s="1" t="s">
        <v>236</v>
      </c>
      <c r="G302" s="1">
        <v>10</v>
      </c>
    </row>
    <row r="303" spans="4:7" ht="28.8" x14ac:dyDescent="0.3">
      <c r="D303" s="1">
        <v>1995</v>
      </c>
      <c r="E303" s="1">
        <v>2</v>
      </c>
      <c r="F303" s="1" t="s">
        <v>254</v>
      </c>
      <c r="G303" s="1">
        <v>8</v>
      </c>
    </row>
    <row r="304" spans="4:7" ht="57.6" x14ac:dyDescent="0.3">
      <c r="D304" s="1">
        <v>1995</v>
      </c>
      <c r="E304" s="1">
        <v>2</v>
      </c>
      <c r="F304" s="1" t="s">
        <v>230</v>
      </c>
      <c r="G304" s="1">
        <v>7</v>
      </c>
    </row>
    <row r="305" spans="4:7" ht="28.8" x14ac:dyDescent="0.3">
      <c r="D305" s="1">
        <v>1995</v>
      </c>
      <c r="E305" s="1">
        <v>2</v>
      </c>
      <c r="F305" s="1" t="s">
        <v>276</v>
      </c>
      <c r="G305" s="1">
        <v>6</v>
      </c>
    </row>
    <row r="306" spans="4:7" x14ac:dyDescent="0.3">
      <c r="D306" s="1">
        <v>1995</v>
      </c>
      <c r="E306" s="1">
        <v>2</v>
      </c>
      <c r="F306" s="1" t="s">
        <v>247</v>
      </c>
      <c r="G306" s="1">
        <v>5</v>
      </c>
    </row>
    <row r="307" spans="4:7" ht="43.2" x14ac:dyDescent="0.3">
      <c r="D307" s="1">
        <v>1995</v>
      </c>
      <c r="E307" s="1">
        <v>2</v>
      </c>
      <c r="F307" s="1" t="s">
        <v>237</v>
      </c>
      <c r="G307" s="1">
        <v>2</v>
      </c>
    </row>
    <row r="308" spans="4:7" ht="28.8" x14ac:dyDescent="0.3">
      <c r="D308" s="1">
        <v>1995</v>
      </c>
      <c r="E308" s="1">
        <v>2</v>
      </c>
      <c r="F308" s="1" t="s">
        <v>223</v>
      </c>
      <c r="G308" s="1">
        <v>2</v>
      </c>
    </row>
    <row r="309" spans="4:7" x14ac:dyDescent="0.3">
      <c r="D309" s="1">
        <v>1995</v>
      </c>
      <c r="E309" s="1">
        <v>2</v>
      </c>
      <c r="F309" s="1" t="s">
        <v>275</v>
      </c>
      <c r="G309" s="1">
        <v>2</v>
      </c>
    </row>
    <row r="310" spans="4:7" ht="28.8" x14ac:dyDescent="0.3">
      <c r="D310" s="1">
        <v>1995</v>
      </c>
      <c r="E310" s="1">
        <v>3</v>
      </c>
      <c r="F310" s="1" t="s">
        <v>236</v>
      </c>
      <c r="G310" s="1">
        <v>180</v>
      </c>
    </row>
    <row r="311" spans="4:7" ht="28.8" x14ac:dyDescent="0.3">
      <c r="D311" s="1">
        <v>1995</v>
      </c>
      <c r="E311" s="1">
        <v>3</v>
      </c>
      <c r="F311" s="1" t="s">
        <v>276</v>
      </c>
      <c r="G311" s="1">
        <v>141</v>
      </c>
    </row>
    <row r="312" spans="4:7" ht="43.2" x14ac:dyDescent="0.3">
      <c r="D312" s="1">
        <v>1995</v>
      </c>
      <c r="E312" s="1">
        <v>3</v>
      </c>
      <c r="F312" s="1" t="s">
        <v>257</v>
      </c>
      <c r="G312" s="1">
        <v>130</v>
      </c>
    </row>
    <row r="313" spans="4:7" ht="28.8" x14ac:dyDescent="0.3">
      <c r="D313" s="1">
        <v>1995</v>
      </c>
      <c r="E313" s="1">
        <v>3</v>
      </c>
      <c r="F313" s="1" t="s">
        <v>242</v>
      </c>
      <c r="G313" s="1">
        <v>115</v>
      </c>
    </row>
    <row r="314" spans="4:7" ht="43.2" x14ac:dyDescent="0.3">
      <c r="D314" s="1">
        <v>1995</v>
      </c>
      <c r="E314" s="1">
        <v>3</v>
      </c>
      <c r="F314" s="1" t="s">
        <v>221</v>
      </c>
      <c r="G314" s="1">
        <v>113</v>
      </c>
    </row>
    <row r="315" spans="4:7" ht="43.2" x14ac:dyDescent="0.3">
      <c r="D315" s="1">
        <v>1995</v>
      </c>
      <c r="E315" s="1">
        <v>3</v>
      </c>
      <c r="F315" s="1" t="s">
        <v>218</v>
      </c>
      <c r="G315" s="1">
        <v>106</v>
      </c>
    </row>
    <row r="316" spans="4:7" ht="28.8" x14ac:dyDescent="0.3">
      <c r="D316" s="1">
        <v>1995</v>
      </c>
      <c r="E316" s="1">
        <v>3</v>
      </c>
      <c r="F316" s="1" t="s">
        <v>223</v>
      </c>
      <c r="G316" s="1">
        <v>105</v>
      </c>
    </row>
    <row r="317" spans="4:7" ht="28.8" x14ac:dyDescent="0.3">
      <c r="D317" s="1">
        <v>1995</v>
      </c>
      <c r="E317" s="1">
        <v>3</v>
      </c>
      <c r="F317" s="1" t="s">
        <v>255</v>
      </c>
      <c r="G317" s="1">
        <v>100</v>
      </c>
    </row>
    <row r="318" spans="4:7" x14ac:dyDescent="0.3">
      <c r="D318" s="1">
        <v>1995</v>
      </c>
      <c r="E318" s="1">
        <v>3</v>
      </c>
      <c r="F318" s="1" t="s">
        <v>238</v>
      </c>
      <c r="G318" s="1">
        <v>85</v>
      </c>
    </row>
    <row r="319" spans="4:7" ht="28.8" x14ac:dyDescent="0.3">
      <c r="D319" s="1">
        <v>1995</v>
      </c>
      <c r="E319" s="1">
        <v>3</v>
      </c>
      <c r="F319" s="1" t="s">
        <v>235</v>
      </c>
      <c r="G319" s="1">
        <v>82</v>
      </c>
    </row>
    <row r="320" spans="4:7" ht="57.6" x14ac:dyDescent="0.3">
      <c r="D320" s="1">
        <v>1995</v>
      </c>
      <c r="E320" s="1">
        <v>3</v>
      </c>
      <c r="F320" s="1" t="s">
        <v>230</v>
      </c>
      <c r="G320" s="1">
        <v>71</v>
      </c>
    </row>
    <row r="321" spans="4:7" ht="43.2" x14ac:dyDescent="0.3">
      <c r="D321" s="1">
        <v>1995</v>
      </c>
      <c r="E321" s="1">
        <v>3</v>
      </c>
      <c r="F321" s="1" t="s">
        <v>237</v>
      </c>
      <c r="G321" s="1">
        <v>70</v>
      </c>
    </row>
    <row r="322" spans="4:7" ht="43.2" x14ac:dyDescent="0.3">
      <c r="D322" s="1">
        <v>1995</v>
      </c>
      <c r="E322" s="1">
        <v>3</v>
      </c>
      <c r="F322" s="1" t="s">
        <v>272</v>
      </c>
      <c r="G322" s="1">
        <v>67</v>
      </c>
    </row>
    <row r="323" spans="4:7" ht="28.8" x14ac:dyDescent="0.3">
      <c r="D323" s="1">
        <v>1995</v>
      </c>
      <c r="E323" s="1">
        <v>3</v>
      </c>
      <c r="F323" s="1" t="s">
        <v>234</v>
      </c>
      <c r="G323" s="1">
        <v>65</v>
      </c>
    </row>
    <row r="324" spans="4:7" ht="57.6" x14ac:dyDescent="0.3">
      <c r="D324" s="1">
        <v>1995</v>
      </c>
      <c r="E324" s="1">
        <v>3</v>
      </c>
      <c r="F324" s="1" t="s">
        <v>246</v>
      </c>
      <c r="G324" s="1">
        <v>63</v>
      </c>
    </row>
    <row r="325" spans="4:7" ht="43.2" x14ac:dyDescent="0.3">
      <c r="D325" s="1">
        <v>1995</v>
      </c>
      <c r="E325" s="1">
        <v>3</v>
      </c>
      <c r="F325" s="1" t="s">
        <v>233</v>
      </c>
      <c r="G325" s="1">
        <v>61</v>
      </c>
    </row>
    <row r="326" spans="4:7" ht="57.6" x14ac:dyDescent="0.3">
      <c r="D326" s="1">
        <v>1995</v>
      </c>
      <c r="E326" s="1">
        <v>3</v>
      </c>
      <c r="F326" s="1" t="s">
        <v>283</v>
      </c>
      <c r="G326" s="1">
        <v>60</v>
      </c>
    </row>
    <row r="327" spans="4:7" ht="43.2" x14ac:dyDescent="0.3">
      <c r="D327" s="1">
        <v>1995</v>
      </c>
      <c r="E327" s="1">
        <v>3</v>
      </c>
      <c r="F327" s="1" t="s">
        <v>225</v>
      </c>
      <c r="G327" s="1">
        <v>57</v>
      </c>
    </row>
    <row r="328" spans="4:7" x14ac:dyDescent="0.3">
      <c r="D328" s="1">
        <v>1995</v>
      </c>
      <c r="E328" s="1">
        <v>3</v>
      </c>
      <c r="F328" s="1" t="s">
        <v>239</v>
      </c>
      <c r="G328" s="1">
        <v>55</v>
      </c>
    </row>
    <row r="329" spans="4:7" ht="72" x14ac:dyDescent="0.3">
      <c r="D329" s="1">
        <v>1995</v>
      </c>
      <c r="E329" s="1">
        <v>3</v>
      </c>
      <c r="F329" s="1" t="s">
        <v>256</v>
      </c>
      <c r="G329" s="1">
        <v>55</v>
      </c>
    </row>
    <row r="330" spans="4:7" ht="43.2" x14ac:dyDescent="0.3">
      <c r="D330" s="1">
        <v>1995</v>
      </c>
      <c r="E330" s="1">
        <v>3</v>
      </c>
      <c r="F330" s="1" t="s">
        <v>226</v>
      </c>
      <c r="G330" s="1">
        <v>50</v>
      </c>
    </row>
    <row r="331" spans="4:7" ht="43.2" x14ac:dyDescent="0.3">
      <c r="D331" s="1">
        <v>1995</v>
      </c>
      <c r="E331" s="1">
        <v>3</v>
      </c>
      <c r="F331" s="1" t="s">
        <v>244</v>
      </c>
      <c r="G331" s="1">
        <v>50</v>
      </c>
    </row>
    <row r="332" spans="4:7" ht="28.8" x14ac:dyDescent="0.3">
      <c r="D332" s="1">
        <v>1995</v>
      </c>
      <c r="E332" s="1">
        <v>3</v>
      </c>
      <c r="F332" s="1" t="s">
        <v>250</v>
      </c>
      <c r="G332" s="1">
        <v>42</v>
      </c>
    </row>
    <row r="333" spans="4:7" ht="28.8" x14ac:dyDescent="0.3">
      <c r="D333" s="1">
        <v>1995</v>
      </c>
      <c r="E333" s="1">
        <v>3</v>
      </c>
      <c r="F333" s="1" t="s">
        <v>284</v>
      </c>
      <c r="G333" s="1">
        <v>40</v>
      </c>
    </row>
    <row r="334" spans="4:7" ht="28.8" x14ac:dyDescent="0.3">
      <c r="D334" s="1">
        <v>1995</v>
      </c>
      <c r="E334" s="1">
        <v>3</v>
      </c>
      <c r="F334" s="1" t="s">
        <v>240</v>
      </c>
      <c r="G334" s="1">
        <v>35</v>
      </c>
    </row>
    <row r="335" spans="4:7" x14ac:dyDescent="0.3">
      <c r="D335" s="1">
        <v>1995</v>
      </c>
      <c r="E335" s="1">
        <v>3</v>
      </c>
      <c r="F335" s="1" t="s">
        <v>273</v>
      </c>
      <c r="G335" s="1">
        <v>35</v>
      </c>
    </row>
    <row r="336" spans="4:7" x14ac:dyDescent="0.3">
      <c r="D336" s="1">
        <v>1995</v>
      </c>
      <c r="E336" s="1">
        <v>3</v>
      </c>
      <c r="F336" s="1" t="s">
        <v>285</v>
      </c>
      <c r="G336" s="1">
        <v>35</v>
      </c>
    </row>
    <row r="337" spans="4:7" ht="28.8" x14ac:dyDescent="0.3">
      <c r="D337" s="1">
        <v>1995</v>
      </c>
      <c r="E337" s="1">
        <v>3</v>
      </c>
      <c r="F337" s="1" t="s">
        <v>220</v>
      </c>
      <c r="G337" s="1">
        <v>35</v>
      </c>
    </row>
    <row r="338" spans="4:7" x14ac:dyDescent="0.3">
      <c r="D338" s="1">
        <v>1995</v>
      </c>
      <c r="E338" s="1">
        <v>3</v>
      </c>
      <c r="F338" s="1" t="s">
        <v>232</v>
      </c>
      <c r="G338" s="1">
        <v>34</v>
      </c>
    </row>
    <row r="339" spans="4:7" ht="28.8" x14ac:dyDescent="0.3">
      <c r="D339" s="1">
        <v>1995</v>
      </c>
      <c r="E339" s="1">
        <v>3</v>
      </c>
      <c r="F339" s="1" t="s">
        <v>280</v>
      </c>
      <c r="G339" s="1">
        <v>30</v>
      </c>
    </row>
    <row r="340" spans="4:7" ht="28.8" x14ac:dyDescent="0.3">
      <c r="D340" s="1">
        <v>1995</v>
      </c>
      <c r="E340" s="1">
        <v>3</v>
      </c>
      <c r="F340" s="1" t="s">
        <v>288</v>
      </c>
      <c r="G340" s="1">
        <v>30</v>
      </c>
    </row>
    <row r="341" spans="4:7" ht="72" x14ac:dyDescent="0.3">
      <c r="D341" s="1">
        <v>1995</v>
      </c>
      <c r="E341" s="1">
        <v>3</v>
      </c>
      <c r="F341" s="1" t="s">
        <v>263</v>
      </c>
      <c r="G341" s="1">
        <v>30</v>
      </c>
    </row>
    <row r="342" spans="4:7" ht="57.6" x14ac:dyDescent="0.3">
      <c r="D342" s="1">
        <v>1995</v>
      </c>
      <c r="E342" s="1">
        <v>3</v>
      </c>
      <c r="F342" s="1" t="s">
        <v>265</v>
      </c>
      <c r="G342" s="1">
        <v>28</v>
      </c>
    </row>
    <row r="343" spans="4:7" ht="43.2" x14ac:dyDescent="0.3">
      <c r="D343" s="1">
        <v>1995</v>
      </c>
      <c r="E343" s="1">
        <v>3</v>
      </c>
      <c r="F343" s="1" t="s">
        <v>245</v>
      </c>
      <c r="G343" s="1">
        <v>28</v>
      </c>
    </row>
    <row r="344" spans="4:7" ht="28.8" x14ac:dyDescent="0.3">
      <c r="D344" s="1">
        <v>1995</v>
      </c>
      <c r="E344" s="1">
        <v>3</v>
      </c>
      <c r="F344" s="1" t="s">
        <v>252</v>
      </c>
      <c r="G344" s="1">
        <v>26</v>
      </c>
    </row>
    <row r="345" spans="4:7" ht="28.8" x14ac:dyDescent="0.3">
      <c r="D345" s="1">
        <v>1995</v>
      </c>
      <c r="E345" s="1">
        <v>3</v>
      </c>
      <c r="F345" s="1" t="s">
        <v>254</v>
      </c>
      <c r="G345" s="1">
        <v>25</v>
      </c>
    </row>
    <row r="346" spans="4:7" ht="57.6" x14ac:dyDescent="0.3">
      <c r="D346" s="1">
        <v>1995</v>
      </c>
      <c r="E346" s="1">
        <v>3</v>
      </c>
      <c r="F346" s="1" t="s">
        <v>217</v>
      </c>
      <c r="G346" s="1">
        <v>24</v>
      </c>
    </row>
    <row r="347" spans="4:7" x14ac:dyDescent="0.3">
      <c r="D347" s="1">
        <v>1995</v>
      </c>
      <c r="E347" s="1">
        <v>3</v>
      </c>
      <c r="F347" s="1" t="s">
        <v>258</v>
      </c>
      <c r="G347" s="1">
        <v>21</v>
      </c>
    </row>
    <row r="348" spans="4:7" ht="43.2" x14ac:dyDescent="0.3">
      <c r="D348" s="1">
        <v>1995</v>
      </c>
      <c r="E348" s="1">
        <v>3</v>
      </c>
      <c r="F348" s="1" t="s">
        <v>260</v>
      </c>
      <c r="G348" s="1">
        <v>21</v>
      </c>
    </row>
    <row r="349" spans="4:7" ht="28.8" x14ac:dyDescent="0.3">
      <c r="D349" s="1">
        <v>1995</v>
      </c>
      <c r="E349" s="1">
        <v>3</v>
      </c>
      <c r="F349" s="1" t="s">
        <v>270</v>
      </c>
      <c r="G349" s="1">
        <v>20</v>
      </c>
    </row>
    <row r="350" spans="4:7" ht="43.2" x14ac:dyDescent="0.3">
      <c r="D350" s="1">
        <v>1995</v>
      </c>
      <c r="E350" s="1">
        <v>3</v>
      </c>
      <c r="F350" s="1" t="s">
        <v>278</v>
      </c>
      <c r="G350" s="1">
        <v>20</v>
      </c>
    </row>
    <row r="351" spans="4:7" x14ac:dyDescent="0.3">
      <c r="D351" s="1">
        <v>1995</v>
      </c>
      <c r="E351" s="1">
        <v>3</v>
      </c>
      <c r="F351" s="1" t="s">
        <v>291</v>
      </c>
      <c r="G351" s="1">
        <v>20</v>
      </c>
    </row>
    <row r="352" spans="4:7" ht="28.8" x14ac:dyDescent="0.3">
      <c r="D352" s="1">
        <v>1995</v>
      </c>
      <c r="E352" s="1">
        <v>3</v>
      </c>
      <c r="F352" s="1" t="s">
        <v>227</v>
      </c>
      <c r="G352" s="1">
        <v>20</v>
      </c>
    </row>
    <row r="353" spans="4:7" ht="28.8" x14ac:dyDescent="0.3">
      <c r="D353" s="1">
        <v>1995</v>
      </c>
      <c r="E353" s="1">
        <v>3</v>
      </c>
      <c r="F353" s="1" t="s">
        <v>241</v>
      </c>
      <c r="G353" s="1">
        <v>18</v>
      </c>
    </row>
    <row r="354" spans="4:7" ht="72" x14ac:dyDescent="0.3">
      <c r="D354" s="1">
        <v>1995</v>
      </c>
      <c r="E354" s="1">
        <v>3</v>
      </c>
      <c r="F354" s="1" t="s">
        <v>231</v>
      </c>
      <c r="G354" s="1">
        <v>16</v>
      </c>
    </row>
    <row r="355" spans="4:7" ht="28.8" x14ac:dyDescent="0.3">
      <c r="D355" s="1">
        <v>1995</v>
      </c>
      <c r="E355" s="1">
        <v>3</v>
      </c>
      <c r="F355" s="1" t="s">
        <v>267</v>
      </c>
      <c r="G355" s="1">
        <v>15</v>
      </c>
    </row>
    <row r="356" spans="4:7" ht="57.6" x14ac:dyDescent="0.3">
      <c r="D356" s="1">
        <v>1995</v>
      </c>
      <c r="E356" s="1">
        <v>3</v>
      </c>
      <c r="F356" s="1" t="s">
        <v>253</v>
      </c>
      <c r="G356" s="1">
        <v>15</v>
      </c>
    </row>
    <row r="357" spans="4:7" ht="28.8" x14ac:dyDescent="0.3">
      <c r="D357" s="1">
        <v>1995</v>
      </c>
      <c r="E357" s="1">
        <v>3</v>
      </c>
      <c r="F357" s="1" t="s">
        <v>292</v>
      </c>
      <c r="G357" s="1">
        <v>15</v>
      </c>
    </row>
    <row r="358" spans="4:7" ht="43.2" x14ac:dyDescent="0.3">
      <c r="D358" s="1">
        <v>1995</v>
      </c>
      <c r="E358" s="1">
        <v>3</v>
      </c>
      <c r="F358" s="1" t="s">
        <v>269</v>
      </c>
      <c r="G358" s="1">
        <v>12</v>
      </c>
    </row>
    <row r="359" spans="4:7" ht="28.8" x14ac:dyDescent="0.3">
      <c r="D359" s="1">
        <v>1995</v>
      </c>
      <c r="E359" s="1">
        <v>3</v>
      </c>
      <c r="F359" s="1" t="s">
        <v>248</v>
      </c>
      <c r="G359" s="1">
        <v>8</v>
      </c>
    </row>
    <row r="360" spans="4:7" ht="28.8" x14ac:dyDescent="0.3">
      <c r="D360" s="1">
        <v>1995</v>
      </c>
      <c r="E360" s="1">
        <v>3</v>
      </c>
      <c r="F360" s="1" t="s">
        <v>243</v>
      </c>
      <c r="G360" s="1">
        <v>3</v>
      </c>
    </row>
    <row r="361" spans="4:7" ht="43.2" x14ac:dyDescent="0.3">
      <c r="D361" s="1">
        <v>1995</v>
      </c>
      <c r="E361" s="1">
        <v>4</v>
      </c>
      <c r="F361" s="1" t="s">
        <v>278</v>
      </c>
      <c r="G361" s="1">
        <v>133</v>
      </c>
    </row>
    <row r="362" spans="4:7" ht="43.2" x14ac:dyDescent="0.3">
      <c r="D362" s="1">
        <v>1995</v>
      </c>
      <c r="E362" s="1">
        <v>4</v>
      </c>
      <c r="F362" s="1" t="s">
        <v>218</v>
      </c>
      <c r="G362" s="1">
        <v>102</v>
      </c>
    </row>
    <row r="363" spans="4:7" ht="28.8" x14ac:dyDescent="0.3">
      <c r="D363" s="1">
        <v>1995</v>
      </c>
      <c r="E363" s="1">
        <v>4</v>
      </c>
      <c r="F363" s="1" t="s">
        <v>254</v>
      </c>
      <c r="G363" s="1">
        <v>72</v>
      </c>
    </row>
    <row r="364" spans="4:7" ht="43.2" x14ac:dyDescent="0.3">
      <c r="D364" s="1">
        <v>1995</v>
      </c>
      <c r="E364" s="1">
        <v>4</v>
      </c>
      <c r="F364" s="1" t="s">
        <v>237</v>
      </c>
      <c r="G364" s="1">
        <v>61</v>
      </c>
    </row>
    <row r="365" spans="4:7" ht="43.2" x14ac:dyDescent="0.3">
      <c r="D365" s="1">
        <v>1995</v>
      </c>
      <c r="E365" s="1">
        <v>4</v>
      </c>
      <c r="F365" s="1" t="s">
        <v>219</v>
      </c>
      <c r="G365" s="1">
        <v>60</v>
      </c>
    </row>
    <row r="366" spans="4:7" x14ac:dyDescent="0.3">
      <c r="D366" s="1">
        <v>1995</v>
      </c>
      <c r="E366" s="1">
        <v>4</v>
      </c>
      <c r="F366" s="1" t="s">
        <v>239</v>
      </c>
      <c r="G366" s="1">
        <v>60</v>
      </c>
    </row>
    <row r="367" spans="4:7" ht="57.6" x14ac:dyDescent="0.3">
      <c r="D367" s="1">
        <v>1995</v>
      </c>
      <c r="E367" s="1">
        <v>4</v>
      </c>
      <c r="F367" s="1" t="s">
        <v>283</v>
      </c>
      <c r="G367" s="1">
        <v>60</v>
      </c>
    </row>
    <row r="368" spans="4:7" x14ac:dyDescent="0.3">
      <c r="D368" s="1">
        <v>1995</v>
      </c>
      <c r="E368" s="1">
        <v>4</v>
      </c>
      <c r="F368" s="1" t="s">
        <v>238</v>
      </c>
      <c r="G368" s="1">
        <v>53</v>
      </c>
    </row>
    <row r="369" spans="4:7" ht="57.6" x14ac:dyDescent="0.3">
      <c r="D369" s="1">
        <v>1995</v>
      </c>
      <c r="E369" s="1">
        <v>4</v>
      </c>
      <c r="F369" s="1" t="s">
        <v>261</v>
      </c>
      <c r="G369" s="1">
        <v>50</v>
      </c>
    </row>
    <row r="370" spans="4:7" ht="43.2" x14ac:dyDescent="0.3">
      <c r="D370" s="1">
        <v>1995</v>
      </c>
      <c r="E370" s="1">
        <v>4</v>
      </c>
      <c r="F370" s="1" t="s">
        <v>221</v>
      </c>
      <c r="G370" s="1">
        <v>50</v>
      </c>
    </row>
    <row r="371" spans="4:7" ht="43.2" x14ac:dyDescent="0.3">
      <c r="D371" s="1">
        <v>1995</v>
      </c>
      <c r="E371" s="1">
        <v>4</v>
      </c>
      <c r="F371" s="1" t="s">
        <v>222</v>
      </c>
      <c r="G371" s="1">
        <v>46</v>
      </c>
    </row>
    <row r="372" spans="4:7" ht="28.8" x14ac:dyDescent="0.3">
      <c r="D372" s="1">
        <v>1995</v>
      </c>
      <c r="E372" s="1">
        <v>4</v>
      </c>
      <c r="F372" s="1" t="s">
        <v>241</v>
      </c>
      <c r="G372" s="1">
        <v>42</v>
      </c>
    </row>
    <row r="373" spans="4:7" ht="57.6" x14ac:dyDescent="0.3">
      <c r="D373" s="1">
        <v>1995</v>
      </c>
      <c r="E373" s="1">
        <v>4</v>
      </c>
      <c r="F373" s="1" t="s">
        <v>230</v>
      </c>
      <c r="G373" s="1">
        <v>38</v>
      </c>
    </row>
    <row r="374" spans="4:7" ht="28.8" x14ac:dyDescent="0.3">
      <c r="D374" s="1">
        <v>1995</v>
      </c>
      <c r="E374" s="1">
        <v>4</v>
      </c>
      <c r="F374" s="1" t="s">
        <v>277</v>
      </c>
      <c r="G374" s="1">
        <v>36</v>
      </c>
    </row>
    <row r="375" spans="4:7" ht="28.8" x14ac:dyDescent="0.3">
      <c r="D375" s="1">
        <v>1995</v>
      </c>
      <c r="E375" s="1">
        <v>4</v>
      </c>
      <c r="F375" s="1" t="s">
        <v>243</v>
      </c>
      <c r="G375" s="1">
        <v>35</v>
      </c>
    </row>
    <row r="376" spans="4:7" ht="43.2" x14ac:dyDescent="0.3">
      <c r="D376" s="1">
        <v>1995</v>
      </c>
      <c r="E376" s="1">
        <v>4</v>
      </c>
      <c r="F376" s="1" t="s">
        <v>257</v>
      </c>
      <c r="G376" s="1">
        <v>35</v>
      </c>
    </row>
    <row r="377" spans="4:7" ht="28.8" x14ac:dyDescent="0.3">
      <c r="D377" s="1">
        <v>1995</v>
      </c>
      <c r="E377" s="1">
        <v>4</v>
      </c>
      <c r="F377" s="1" t="s">
        <v>270</v>
      </c>
      <c r="G377" s="1">
        <v>35</v>
      </c>
    </row>
    <row r="378" spans="4:7" ht="28.8" x14ac:dyDescent="0.3">
      <c r="D378" s="1">
        <v>1995</v>
      </c>
      <c r="E378" s="1">
        <v>4</v>
      </c>
      <c r="F378" s="1" t="s">
        <v>236</v>
      </c>
      <c r="G378" s="1">
        <v>32</v>
      </c>
    </row>
    <row r="379" spans="4:7" ht="28.8" x14ac:dyDescent="0.3">
      <c r="D379" s="1">
        <v>1995</v>
      </c>
      <c r="E379" s="1">
        <v>4</v>
      </c>
      <c r="F379" s="1" t="s">
        <v>279</v>
      </c>
      <c r="G379" s="1">
        <v>30</v>
      </c>
    </row>
    <row r="380" spans="4:7" ht="28.8" x14ac:dyDescent="0.3">
      <c r="D380" s="1">
        <v>1995</v>
      </c>
      <c r="E380" s="1">
        <v>4</v>
      </c>
      <c r="F380" s="1" t="s">
        <v>250</v>
      </c>
      <c r="G380" s="1">
        <v>30</v>
      </c>
    </row>
    <row r="381" spans="4:7" ht="28.8" x14ac:dyDescent="0.3">
      <c r="D381" s="1">
        <v>1995</v>
      </c>
      <c r="E381" s="1">
        <v>4</v>
      </c>
      <c r="F381" s="1" t="s">
        <v>224</v>
      </c>
      <c r="G381" s="1">
        <v>30</v>
      </c>
    </row>
    <row r="382" spans="4:7" ht="72" x14ac:dyDescent="0.3">
      <c r="D382" s="1">
        <v>1995</v>
      </c>
      <c r="E382" s="1">
        <v>4</v>
      </c>
      <c r="F382" s="1" t="s">
        <v>231</v>
      </c>
      <c r="G382" s="1">
        <v>30</v>
      </c>
    </row>
    <row r="383" spans="4:7" ht="28.8" x14ac:dyDescent="0.3">
      <c r="D383" s="1">
        <v>1995</v>
      </c>
      <c r="E383" s="1">
        <v>4</v>
      </c>
      <c r="F383" s="1" t="s">
        <v>216</v>
      </c>
      <c r="G383" s="1">
        <v>30</v>
      </c>
    </row>
    <row r="384" spans="4:7" ht="28.8" x14ac:dyDescent="0.3">
      <c r="D384" s="1">
        <v>1995</v>
      </c>
      <c r="E384" s="1">
        <v>4</v>
      </c>
      <c r="F384" s="1" t="s">
        <v>280</v>
      </c>
      <c r="G384" s="1">
        <v>30</v>
      </c>
    </row>
    <row r="385" spans="4:7" ht="72" x14ac:dyDescent="0.3">
      <c r="D385" s="1">
        <v>1995</v>
      </c>
      <c r="E385" s="1">
        <v>4</v>
      </c>
      <c r="F385" s="1" t="s">
        <v>256</v>
      </c>
      <c r="G385" s="1">
        <v>30</v>
      </c>
    </row>
    <row r="386" spans="4:7" ht="43.2" x14ac:dyDescent="0.3">
      <c r="D386" s="1">
        <v>1995</v>
      </c>
      <c r="E386" s="1">
        <v>4</v>
      </c>
      <c r="F386" s="1" t="s">
        <v>233</v>
      </c>
      <c r="G386" s="1">
        <v>30</v>
      </c>
    </row>
    <row r="387" spans="4:7" ht="28.8" x14ac:dyDescent="0.3">
      <c r="D387" s="1">
        <v>1995</v>
      </c>
      <c r="E387" s="1">
        <v>4</v>
      </c>
      <c r="F387" s="1" t="s">
        <v>234</v>
      </c>
      <c r="G387" s="1">
        <v>28</v>
      </c>
    </row>
    <row r="388" spans="4:7" ht="43.2" x14ac:dyDescent="0.3">
      <c r="D388" s="1">
        <v>1995</v>
      </c>
      <c r="E388" s="1">
        <v>4</v>
      </c>
      <c r="F388" s="1" t="s">
        <v>272</v>
      </c>
      <c r="G388" s="1">
        <v>26</v>
      </c>
    </row>
    <row r="389" spans="4:7" ht="28.8" x14ac:dyDescent="0.3">
      <c r="D389" s="1">
        <v>1995</v>
      </c>
      <c r="E389" s="1">
        <v>4</v>
      </c>
      <c r="F389" s="1" t="s">
        <v>284</v>
      </c>
      <c r="G389" s="1">
        <v>25</v>
      </c>
    </row>
    <row r="390" spans="4:7" x14ac:dyDescent="0.3">
      <c r="D390" s="1">
        <v>1995</v>
      </c>
      <c r="E390" s="1">
        <v>4</v>
      </c>
      <c r="F390" s="1" t="s">
        <v>258</v>
      </c>
      <c r="G390" s="1">
        <v>24</v>
      </c>
    </row>
    <row r="391" spans="4:7" ht="28.8" x14ac:dyDescent="0.3">
      <c r="D391" s="1">
        <v>1995</v>
      </c>
      <c r="E391" s="1">
        <v>4</v>
      </c>
      <c r="F391" s="1" t="s">
        <v>276</v>
      </c>
      <c r="G391" s="1">
        <v>24</v>
      </c>
    </row>
    <row r="392" spans="4:7" ht="28.8" x14ac:dyDescent="0.3">
      <c r="D392" s="1">
        <v>1995</v>
      </c>
      <c r="E392" s="1">
        <v>4</v>
      </c>
      <c r="F392" s="1" t="s">
        <v>252</v>
      </c>
      <c r="G392" s="1">
        <v>20</v>
      </c>
    </row>
    <row r="393" spans="4:7" x14ac:dyDescent="0.3">
      <c r="D393" s="1">
        <v>1995</v>
      </c>
      <c r="E393" s="1">
        <v>4</v>
      </c>
      <c r="F393" s="1" t="s">
        <v>232</v>
      </c>
      <c r="G393" s="1">
        <v>20</v>
      </c>
    </row>
    <row r="394" spans="4:7" ht="28.8" x14ac:dyDescent="0.3">
      <c r="D394" s="1">
        <v>1995</v>
      </c>
      <c r="E394" s="1">
        <v>4</v>
      </c>
      <c r="F394" s="1" t="s">
        <v>286</v>
      </c>
      <c r="G394" s="1">
        <v>20</v>
      </c>
    </row>
    <row r="395" spans="4:7" ht="28.8" x14ac:dyDescent="0.3">
      <c r="D395" s="1">
        <v>1995</v>
      </c>
      <c r="E395" s="1">
        <v>4</v>
      </c>
      <c r="F395" s="1" t="s">
        <v>281</v>
      </c>
      <c r="G395" s="1">
        <v>20</v>
      </c>
    </row>
    <row r="396" spans="4:7" ht="28.8" x14ac:dyDescent="0.3">
      <c r="D396" s="1">
        <v>1995</v>
      </c>
      <c r="E396" s="1">
        <v>4</v>
      </c>
      <c r="F396" s="1" t="s">
        <v>227</v>
      </c>
      <c r="G396" s="1">
        <v>18</v>
      </c>
    </row>
    <row r="397" spans="4:7" ht="57.6" x14ac:dyDescent="0.3">
      <c r="D397" s="1">
        <v>1995</v>
      </c>
      <c r="E397" s="1">
        <v>4</v>
      </c>
      <c r="F397" s="1" t="s">
        <v>217</v>
      </c>
      <c r="G397" s="1">
        <v>18</v>
      </c>
    </row>
    <row r="398" spans="4:7" ht="43.2" x14ac:dyDescent="0.3">
      <c r="D398" s="1">
        <v>1995</v>
      </c>
      <c r="E398" s="1">
        <v>4</v>
      </c>
      <c r="F398" s="1" t="s">
        <v>225</v>
      </c>
      <c r="G398" s="1">
        <v>18</v>
      </c>
    </row>
    <row r="399" spans="4:7" ht="72" x14ac:dyDescent="0.3">
      <c r="D399" s="1">
        <v>1995</v>
      </c>
      <c r="E399" s="1">
        <v>4</v>
      </c>
      <c r="F399" s="1" t="s">
        <v>259</v>
      </c>
      <c r="G399" s="1">
        <v>16</v>
      </c>
    </row>
    <row r="400" spans="4:7" ht="28.8" x14ac:dyDescent="0.3">
      <c r="D400" s="1">
        <v>1995</v>
      </c>
      <c r="E400" s="1">
        <v>4</v>
      </c>
      <c r="F400" s="1" t="s">
        <v>288</v>
      </c>
      <c r="G400" s="1">
        <v>16</v>
      </c>
    </row>
    <row r="401" spans="4:7" x14ac:dyDescent="0.3">
      <c r="D401" s="1">
        <v>1995</v>
      </c>
      <c r="E401" s="1">
        <v>4</v>
      </c>
      <c r="F401" s="1" t="s">
        <v>249</v>
      </c>
      <c r="G401" s="1">
        <v>15</v>
      </c>
    </row>
    <row r="402" spans="4:7" ht="57.6" x14ac:dyDescent="0.3">
      <c r="D402" s="1">
        <v>1995</v>
      </c>
      <c r="E402" s="1">
        <v>4</v>
      </c>
      <c r="F402" s="1" t="s">
        <v>282</v>
      </c>
      <c r="G402" s="1">
        <v>12</v>
      </c>
    </row>
    <row r="403" spans="4:7" ht="28.8" x14ac:dyDescent="0.3">
      <c r="D403" s="1">
        <v>1995</v>
      </c>
      <c r="E403" s="1">
        <v>4</v>
      </c>
      <c r="F403" s="1" t="s">
        <v>235</v>
      </c>
      <c r="G403" s="1">
        <v>12</v>
      </c>
    </row>
    <row r="404" spans="4:7" x14ac:dyDescent="0.3">
      <c r="D404" s="1">
        <v>1995</v>
      </c>
      <c r="E404" s="1">
        <v>4</v>
      </c>
      <c r="F404" s="1" t="s">
        <v>291</v>
      </c>
      <c r="G404" s="1">
        <v>12</v>
      </c>
    </row>
    <row r="405" spans="4:7" x14ac:dyDescent="0.3">
      <c r="D405" s="1">
        <v>1995</v>
      </c>
      <c r="E405" s="1">
        <v>4</v>
      </c>
      <c r="F405" s="1" t="s">
        <v>266</v>
      </c>
      <c r="G405" s="1">
        <v>12</v>
      </c>
    </row>
    <row r="406" spans="4:7" ht="57.6" x14ac:dyDescent="0.3">
      <c r="D406" s="1">
        <v>1995</v>
      </c>
      <c r="E406" s="1">
        <v>4</v>
      </c>
      <c r="F406" s="1" t="s">
        <v>265</v>
      </c>
      <c r="G406" s="1">
        <v>10</v>
      </c>
    </row>
    <row r="407" spans="4:7" ht="43.2" x14ac:dyDescent="0.3">
      <c r="D407" s="1">
        <v>1995</v>
      </c>
      <c r="E407" s="1">
        <v>4</v>
      </c>
      <c r="F407" s="1" t="s">
        <v>245</v>
      </c>
      <c r="G407" s="1">
        <v>8</v>
      </c>
    </row>
    <row r="408" spans="4:7" x14ac:dyDescent="0.3">
      <c r="D408" s="1">
        <v>1995</v>
      </c>
      <c r="E408" s="1">
        <v>4</v>
      </c>
      <c r="F408" s="1" t="s">
        <v>273</v>
      </c>
      <c r="G408" s="1">
        <v>5</v>
      </c>
    </row>
    <row r="409" spans="4:7" ht="28.8" x14ac:dyDescent="0.3">
      <c r="D409" s="1">
        <v>1995</v>
      </c>
      <c r="E409" s="1">
        <v>4</v>
      </c>
      <c r="F409" s="1" t="s">
        <v>255</v>
      </c>
      <c r="G409" s="1">
        <v>2</v>
      </c>
    </row>
    <row r="410" spans="4:7" x14ac:dyDescent="0.3">
      <c r="D410" s="1">
        <v>1995</v>
      </c>
      <c r="E410" s="1">
        <v>4</v>
      </c>
      <c r="F410" s="1" t="s">
        <v>275</v>
      </c>
      <c r="G410" s="1">
        <v>1</v>
      </c>
    </row>
    <row r="411" spans="4:7" ht="43.2" x14ac:dyDescent="0.3">
      <c r="D411" s="1">
        <v>1995</v>
      </c>
      <c r="E411" s="1">
        <v>5</v>
      </c>
      <c r="F411" s="1" t="s">
        <v>221</v>
      </c>
      <c r="G411" s="1">
        <v>154</v>
      </c>
    </row>
    <row r="412" spans="4:7" ht="57.6" x14ac:dyDescent="0.3">
      <c r="D412" s="1">
        <v>1995</v>
      </c>
      <c r="E412" s="1">
        <v>5</v>
      </c>
      <c r="F412" s="1" t="s">
        <v>265</v>
      </c>
      <c r="G412" s="1">
        <v>122</v>
      </c>
    </row>
    <row r="413" spans="4:7" ht="43.2" x14ac:dyDescent="0.3">
      <c r="D413" s="1">
        <v>1995</v>
      </c>
      <c r="E413" s="1">
        <v>5</v>
      </c>
      <c r="F413" s="1" t="s">
        <v>244</v>
      </c>
      <c r="G413" s="1">
        <v>120</v>
      </c>
    </row>
    <row r="414" spans="4:7" ht="72" x14ac:dyDescent="0.3">
      <c r="D414" s="1">
        <v>1995</v>
      </c>
      <c r="E414" s="1">
        <v>5</v>
      </c>
      <c r="F414" s="1" t="s">
        <v>263</v>
      </c>
      <c r="G414" s="1">
        <v>110</v>
      </c>
    </row>
    <row r="415" spans="4:7" ht="43.2" x14ac:dyDescent="0.3">
      <c r="D415" s="1">
        <v>1995</v>
      </c>
      <c r="E415" s="1">
        <v>5</v>
      </c>
      <c r="F415" s="1" t="s">
        <v>219</v>
      </c>
      <c r="G415" s="1">
        <v>106</v>
      </c>
    </row>
    <row r="416" spans="4:7" ht="57.6" x14ac:dyDescent="0.3">
      <c r="D416" s="1">
        <v>1995</v>
      </c>
      <c r="E416" s="1">
        <v>5</v>
      </c>
      <c r="F416" s="1" t="s">
        <v>282</v>
      </c>
      <c r="G416" s="1">
        <v>78</v>
      </c>
    </row>
    <row r="417" spans="4:7" ht="57.6" x14ac:dyDescent="0.3">
      <c r="D417" s="1">
        <v>1995</v>
      </c>
      <c r="E417" s="1">
        <v>5</v>
      </c>
      <c r="F417" s="1" t="s">
        <v>246</v>
      </c>
      <c r="G417" s="1">
        <v>74</v>
      </c>
    </row>
    <row r="418" spans="4:7" ht="57.6" x14ac:dyDescent="0.3">
      <c r="D418" s="1">
        <v>1995</v>
      </c>
      <c r="E418" s="1">
        <v>5</v>
      </c>
      <c r="F418" s="1" t="s">
        <v>261</v>
      </c>
      <c r="G418" s="1">
        <v>70</v>
      </c>
    </row>
    <row r="419" spans="4:7" x14ac:dyDescent="0.3">
      <c r="D419" s="1">
        <v>1995</v>
      </c>
      <c r="E419" s="1">
        <v>5</v>
      </c>
      <c r="F419" s="1" t="s">
        <v>266</v>
      </c>
      <c r="G419" s="1">
        <v>70</v>
      </c>
    </row>
    <row r="420" spans="4:7" ht="43.2" x14ac:dyDescent="0.3">
      <c r="D420" s="1">
        <v>1995</v>
      </c>
      <c r="E420" s="1">
        <v>5</v>
      </c>
      <c r="F420" s="1" t="s">
        <v>225</v>
      </c>
      <c r="G420" s="1">
        <v>66</v>
      </c>
    </row>
    <row r="421" spans="4:7" ht="43.2" x14ac:dyDescent="0.3">
      <c r="D421" s="1">
        <v>1995</v>
      </c>
      <c r="E421" s="1">
        <v>5</v>
      </c>
      <c r="F421" s="1" t="s">
        <v>218</v>
      </c>
      <c r="G421" s="1">
        <v>64</v>
      </c>
    </row>
    <row r="422" spans="4:7" ht="43.2" x14ac:dyDescent="0.3">
      <c r="D422" s="1">
        <v>1995</v>
      </c>
      <c r="E422" s="1">
        <v>5</v>
      </c>
      <c r="F422" s="1" t="s">
        <v>257</v>
      </c>
      <c r="G422" s="1">
        <v>52</v>
      </c>
    </row>
    <row r="423" spans="4:7" ht="72" x14ac:dyDescent="0.3">
      <c r="D423" s="1">
        <v>1995</v>
      </c>
      <c r="E423" s="1">
        <v>5</v>
      </c>
      <c r="F423" s="1" t="s">
        <v>231</v>
      </c>
      <c r="G423" s="1">
        <v>50</v>
      </c>
    </row>
    <row r="424" spans="4:7" ht="72" x14ac:dyDescent="0.3">
      <c r="D424" s="1">
        <v>1995</v>
      </c>
      <c r="E424" s="1">
        <v>5</v>
      </c>
      <c r="F424" s="1" t="s">
        <v>259</v>
      </c>
      <c r="G424" s="1">
        <v>50</v>
      </c>
    </row>
    <row r="425" spans="4:7" ht="43.2" x14ac:dyDescent="0.3">
      <c r="D425" s="1">
        <v>1995</v>
      </c>
      <c r="E425" s="1">
        <v>5</v>
      </c>
      <c r="F425" s="1" t="s">
        <v>262</v>
      </c>
      <c r="G425" s="1">
        <v>50</v>
      </c>
    </row>
    <row r="426" spans="4:7" x14ac:dyDescent="0.3">
      <c r="D426" s="1">
        <v>1995</v>
      </c>
      <c r="E426" s="1">
        <v>5</v>
      </c>
      <c r="F426" s="1" t="s">
        <v>238</v>
      </c>
      <c r="G426" s="1">
        <v>50</v>
      </c>
    </row>
    <row r="427" spans="4:7" ht="28.8" x14ac:dyDescent="0.3">
      <c r="D427" s="1">
        <v>1995</v>
      </c>
      <c r="E427" s="1">
        <v>5</v>
      </c>
      <c r="F427" s="1" t="s">
        <v>242</v>
      </c>
      <c r="G427" s="1">
        <v>40</v>
      </c>
    </row>
    <row r="428" spans="4:7" x14ac:dyDescent="0.3">
      <c r="D428" s="1">
        <v>1995</v>
      </c>
      <c r="E428" s="1">
        <v>5</v>
      </c>
      <c r="F428" s="1" t="s">
        <v>249</v>
      </c>
      <c r="G428" s="1">
        <v>40</v>
      </c>
    </row>
    <row r="429" spans="4:7" ht="57.6" x14ac:dyDescent="0.3">
      <c r="D429" s="1">
        <v>1995</v>
      </c>
      <c r="E429" s="1">
        <v>5</v>
      </c>
      <c r="F429" s="1" t="s">
        <v>229</v>
      </c>
      <c r="G429" s="1">
        <v>39</v>
      </c>
    </row>
    <row r="430" spans="4:7" ht="72" x14ac:dyDescent="0.3">
      <c r="D430" s="1">
        <v>1995</v>
      </c>
      <c r="E430" s="1">
        <v>5</v>
      </c>
      <c r="F430" s="1" t="s">
        <v>256</v>
      </c>
      <c r="G430" s="1">
        <v>37</v>
      </c>
    </row>
    <row r="431" spans="4:7" ht="43.2" x14ac:dyDescent="0.3">
      <c r="D431" s="1">
        <v>1995</v>
      </c>
      <c r="E431" s="1">
        <v>5</v>
      </c>
      <c r="F431" s="1" t="s">
        <v>278</v>
      </c>
      <c r="G431" s="1">
        <v>37</v>
      </c>
    </row>
    <row r="432" spans="4:7" ht="43.2" x14ac:dyDescent="0.3">
      <c r="D432" s="1">
        <v>1995</v>
      </c>
      <c r="E432" s="1">
        <v>5</v>
      </c>
      <c r="F432" s="1" t="s">
        <v>260</v>
      </c>
      <c r="G432" s="1">
        <v>36</v>
      </c>
    </row>
    <row r="433" spans="4:7" ht="57.6" x14ac:dyDescent="0.3">
      <c r="D433" s="1">
        <v>1995</v>
      </c>
      <c r="E433" s="1">
        <v>5</v>
      </c>
      <c r="F433" s="1" t="s">
        <v>217</v>
      </c>
      <c r="G433" s="1">
        <v>36</v>
      </c>
    </row>
    <row r="434" spans="4:7" ht="57.6" x14ac:dyDescent="0.3">
      <c r="D434" s="1">
        <v>1995</v>
      </c>
      <c r="E434" s="1">
        <v>5</v>
      </c>
      <c r="F434" s="1" t="s">
        <v>251</v>
      </c>
      <c r="G434" s="1">
        <v>34</v>
      </c>
    </row>
    <row r="435" spans="4:7" ht="43.2" x14ac:dyDescent="0.3">
      <c r="D435" s="1">
        <v>1995</v>
      </c>
      <c r="E435" s="1">
        <v>5</v>
      </c>
      <c r="F435" s="1" t="s">
        <v>237</v>
      </c>
      <c r="G435" s="1">
        <v>30</v>
      </c>
    </row>
    <row r="436" spans="4:7" ht="43.2" x14ac:dyDescent="0.3">
      <c r="D436" s="1">
        <v>1995</v>
      </c>
      <c r="E436" s="1">
        <v>5</v>
      </c>
      <c r="F436" s="1" t="s">
        <v>289</v>
      </c>
      <c r="G436" s="1">
        <v>30</v>
      </c>
    </row>
    <row r="437" spans="4:7" ht="43.2" x14ac:dyDescent="0.3">
      <c r="D437" s="1">
        <v>1995</v>
      </c>
      <c r="E437" s="1">
        <v>5</v>
      </c>
      <c r="F437" s="1" t="s">
        <v>226</v>
      </c>
      <c r="G437" s="1">
        <v>25</v>
      </c>
    </row>
    <row r="438" spans="4:7" x14ac:dyDescent="0.3">
      <c r="D438" s="1">
        <v>1995</v>
      </c>
      <c r="E438" s="1">
        <v>5</v>
      </c>
      <c r="F438" s="1" t="s">
        <v>258</v>
      </c>
      <c r="G438" s="1">
        <v>25</v>
      </c>
    </row>
    <row r="439" spans="4:7" ht="28.8" x14ac:dyDescent="0.3">
      <c r="D439" s="1">
        <v>1995</v>
      </c>
      <c r="E439" s="1">
        <v>5</v>
      </c>
      <c r="F439" s="1" t="s">
        <v>224</v>
      </c>
      <c r="G439" s="1">
        <v>25</v>
      </c>
    </row>
    <row r="440" spans="4:7" ht="28.8" x14ac:dyDescent="0.3">
      <c r="D440" s="1">
        <v>1995</v>
      </c>
      <c r="E440" s="1">
        <v>5</v>
      </c>
      <c r="F440" s="1" t="s">
        <v>255</v>
      </c>
      <c r="G440" s="1">
        <v>24</v>
      </c>
    </row>
    <row r="441" spans="4:7" ht="28.8" x14ac:dyDescent="0.3">
      <c r="D441" s="1">
        <v>1995</v>
      </c>
      <c r="E441" s="1">
        <v>5</v>
      </c>
      <c r="F441" s="1" t="s">
        <v>234</v>
      </c>
      <c r="G441" s="1">
        <v>21</v>
      </c>
    </row>
    <row r="442" spans="4:7" ht="28.8" x14ac:dyDescent="0.3">
      <c r="D442" s="1">
        <v>1995</v>
      </c>
      <c r="E442" s="1">
        <v>5</v>
      </c>
      <c r="F442" s="1" t="s">
        <v>279</v>
      </c>
      <c r="G442" s="1">
        <v>21</v>
      </c>
    </row>
    <row r="443" spans="4:7" ht="28.8" x14ac:dyDescent="0.3">
      <c r="D443" s="1">
        <v>1995</v>
      </c>
      <c r="E443" s="1">
        <v>5</v>
      </c>
      <c r="F443" s="1" t="s">
        <v>243</v>
      </c>
      <c r="G443" s="1">
        <v>20</v>
      </c>
    </row>
    <row r="444" spans="4:7" ht="28.8" x14ac:dyDescent="0.3">
      <c r="D444" s="1">
        <v>1995</v>
      </c>
      <c r="E444" s="1">
        <v>5</v>
      </c>
      <c r="F444" s="1" t="s">
        <v>276</v>
      </c>
      <c r="G444" s="1">
        <v>20</v>
      </c>
    </row>
    <row r="445" spans="4:7" ht="28.8" x14ac:dyDescent="0.3">
      <c r="D445" s="1">
        <v>1995</v>
      </c>
      <c r="E445" s="1">
        <v>5</v>
      </c>
      <c r="F445" s="1" t="s">
        <v>254</v>
      </c>
      <c r="G445" s="1">
        <v>20</v>
      </c>
    </row>
    <row r="446" spans="4:7" ht="43.2" x14ac:dyDescent="0.3">
      <c r="D446" s="1">
        <v>1995</v>
      </c>
      <c r="E446" s="1">
        <v>5</v>
      </c>
      <c r="F446" s="1" t="s">
        <v>245</v>
      </c>
      <c r="G446" s="1">
        <v>20</v>
      </c>
    </row>
    <row r="447" spans="4:7" x14ac:dyDescent="0.3">
      <c r="D447" s="1">
        <v>1995</v>
      </c>
      <c r="E447" s="1">
        <v>5</v>
      </c>
      <c r="F447" s="1" t="s">
        <v>291</v>
      </c>
      <c r="G447" s="1">
        <v>16</v>
      </c>
    </row>
    <row r="448" spans="4:7" ht="43.2" x14ac:dyDescent="0.3">
      <c r="D448" s="1">
        <v>1995</v>
      </c>
      <c r="E448" s="1">
        <v>5</v>
      </c>
      <c r="F448" s="1" t="s">
        <v>264</v>
      </c>
      <c r="G448" s="1">
        <v>16</v>
      </c>
    </row>
    <row r="449" spans="4:7" x14ac:dyDescent="0.3">
      <c r="D449" s="1">
        <v>1995</v>
      </c>
      <c r="E449" s="1">
        <v>5</v>
      </c>
      <c r="F449" s="1" t="s">
        <v>232</v>
      </c>
      <c r="G449" s="1">
        <v>16</v>
      </c>
    </row>
    <row r="450" spans="4:7" ht="28.8" x14ac:dyDescent="0.3">
      <c r="D450" s="1">
        <v>1995</v>
      </c>
      <c r="E450" s="1">
        <v>5</v>
      </c>
      <c r="F450" s="1" t="s">
        <v>292</v>
      </c>
      <c r="G450" s="1">
        <v>15</v>
      </c>
    </row>
    <row r="451" spans="4:7" ht="28.8" x14ac:dyDescent="0.3">
      <c r="D451" s="1">
        <v>1995</v>
      </c>
      <c r="E451" s="1">
        <v>5</v>
      </c>
      <c r="F451" s="1" t="s">
        <v>227</v>
      </c>
      <c r="G451" s="1">
        <v>15</v>
      </c>
    </row>
    <row r="452" spans="4:7" ht="28.8" x14ac:dyDescent="0.3">
      <c r="D452" s="1">
        <v>1995</v>
      </c>
      <c r="E452" s="1">
        <v>5</v>
      </c>
      <c r="F452" s="1" t="s">
        <v>216</v>
      </c>
      <c r="G452" s="1">
        <v>15</v>
      </c>
    </row>
    <row r="453" spans="4:7" ht="28.8" x14ac:dyDescent="0.3">
      <c r="D453" s="1">
        <v>1995</v>
      </c>
      <c r="E453" s="1">
        <v>5</v>
      </c>
      <c r="F453" s="1" t="s">
        <v>290</v>
      </c>
      <c r="G453" s="1">
        <v>12</v>
      </c>
    </row>
    <row r="454" spans="4:7" x14ac:dyDescent="0.3">
      <c r="D454" s="1">
        <v>1995</v>
      </c>
      <c r="E454" s="1">
        <v>5</v>
      </c>
      <c r="F454" s="1" t="s">
        <v>239</v>
      </c>
      <c r="G454" s="1">
        <v>12</v>
      </c>
    </row>
    <row r="455" spans="4:7" ht="28.8" x14ac:dyDescent="0.3">
      <c r="D455" s="1">
        <v>1995</v>
      </c>
      <c r="E455" s="1">
        <v>5</v>
      </c>
      <c r="F455" s="1" t="s">
        <v>228</v>
      </c>
      <c r="G455" s="1">
        <v>10</v>
      </c>
    </row>
    <row r="456" spans="4:7" ht="57.6" x14ac:dyDescent="0.3">
      <c r="D456" s="1">
        <v>1995</v>
      </c>
      <c r="E456" s="1">
        <v>5</v>
      </c>
      <c r="F456" s="1" t="s">
        <v>283</v>
      </c>
      <c r="G456" s="1">
        <v>10</v>
      </c>
    </row>
    <row r="457" spans="4:7" ht="28.8" x14ac:dyDescent="0.3">
      <c r="D457" s="1">
        <v>1995</v>
      </c>
      <c r="E457" s="1">
        <v>5</v>
      </c>
      <c r="F457" s="1" t="s">
        <v>277</v>
      </c>
      <c r="G457" s="1">
        <v>10</v>
      </c>
    </row>
    <row r="458" spans="4:7" ht="28.8" x14ac:dyDescent="0.3">
      <c r="D458" s="1">
        <v>1995</v>
      </c>
      <c r="E458" s="1">
        <v>5</v>
      </c>
      <c r="F458" s="1" t="s">
        <v>252</v>
      </c>
      <c r="G458" s="1">
        <v>10</v>
      </c>
    </row>
    <row r="459" spans="4:7" x14ac:dyDescent="0.3">
      <c r="D459" s="1">
        <v>1995</v>
      </c>
      <c r="E459" s="1">
        <v>5</v>
      </c>
      <c r="F459" s="1" t="s">
        <v>275</v>
      </c>
      <c r="G459" s="1">
        <v>10</v>
      </c>
    </row>
    <row r="460" spans="4:7" x14ac:dyDescent="0.3">
      <c r="D460" s="1">
        <v>1995</v>
      </c>
      <c r="E460" s="1">
        <v>5</v>
      </c>
      <c r="F460" s="1" t="s">
        <v>273</v>
      </c>
      <c r="G460" s="1">
        <v>9</v>
      </c>
    </row>
    <row r="461" spans="4:7" ht="28.8" x14ac:dyDescent="0.3">
      <c r="D461" s="1">
        <v>1995</v>
      </c>
      <c r="E461" s="1">
        <v>5</v>
      </c>
      <c r="F461" s="1" t="s">
        <v>280</v>
      </c>
      <c r="G461" s="1">
        <v>6</v>
      </c>
    </row>
    <row r="462" spans="4:7" x14ac:dyDescent="0.3">
      <c r="D462" s="1">
        <v>1995</v>
      </c>
      <c r="E462" s="1">
        <v>5</v>
      </c>
      <c r="F462" s="1" t="s">
        <v>285</v>
      </c>
      <c r="G462" s="1">
        <v>6</v>
      </c>
    </row>
    <row r="463" spans="4:7" ht="28.8" x14ac:dyDescent="0.3">
      <c r="D463" s="1">
        <v>1995</v>
      </c>
      <c r="E463" s="1">
        <v>5</v>
      </c>
      <c r="F463" s="1" t="s">
        <v>220</v>
      </c>
      <c r="G463" s="1">
        <v>3</v>
      </c>
    </row>
    <row r="464" spans="4:7" ht="28.8" x14ac:dyDescent="0.3">
      <c r="D464" s="1">
        <v>1995</v>
      </c>
      <c r="E464" s="1">
        <v>5</v>
      </c>
      <c r="F464" s="1" t="s">
        <v>248</v>
      </c>
      <c r="G464" s="1">
        <v>3</v>
      </c>
    </row>
    <row r="465" spans="4:7" ht="28.8" x14ac:dyDescent="0.3">
      <c r="D465" s="1">
        <v>1995</v>
      </c>
      <c r="E465" s="1">
        <v>6</v>
      </c>
      <c r="F465" s="1" t="s">
        <v>243</v>
      </c>
      <c r="G465" s="1">
        <v>135</v>
      </c>
    </row>
    <row r="466" spans="4:7" x14ac:dyDescent="0.3">
      <c r="D466" s="1">
        <v>1995</v>
      </c>
      <c r="E466" s="1">
        <v>6</v>
      </c>
      <c r="F466" s="1" t="s">
        <v>247</v>
      </c>
      <c r="G466" s="1">
        <v>120</v>
      </c>
    </row>
    <row r="467" spans="4:7" ht="72" x14ac:dyDescent="0.3">
      <c r="D467" s="1">
        <v>1995</v>
      </c>
      <c r="E467" s="1">
        <v>6</v>
      </c>
      <c r="F467" s="1" t="s">
        <v>259</v>
      </c>
      <c r="G467" s="1">
        <v>100</v>
      </c>
    </row>
    <row r="468" spans="4:7" ht="28.8" x14ac:dyDescent="0.3">
      <c r="D468" s="1">
        <v>1995</v>
      </c>
      <c r="E468" s="1">
        <v>6</v>
      </c>
      <c r="F468" s="1" t="s">
        <v>279</v>
      </c>
      <c r="G468" s="1">
        <v>100</v>
      </c>
    </row>
    <row r="469" spans="4:7" ht="28.8" x14ac:dyDescent="0.3">
      <c r="D469" s="1">
        <v>1995</v>
      </c>
      <c r="E469" s="1">
        <v>6</v>
      </c>
      <c r="F469" s="1" t="s">
        <v>250</v>
      </c>
      <c r="G469" s="1">
        <v>93</v>
      </c>
    </row>
    <row r="470" spans="4:7" ht="28.8" x14ac:dyDescent="0.3">
      <c r="D470" s="1">
        <v>1995</v>
      </c>
      <c r="E470" s="1">
        <v>6</v>
      </c>
      <c r="F470" s="1" t="s">
        <v>277</v>
      </c>
      <c r="G470" s="1">
        <v>90</v>
      </c>
    </row>
    <row r="471" spans="4:7" ht="28.8" x14ac:dyDescent="0.3">
      <c r="D471" s="1">
        <v>1995</v>
      </c>
      <c r="E471" s="1">
        <v>6</v>
      </c>
      <c r="F471" s="1" t="s">
        <v>227</v>
      </c>
      <c r="G471" s="1">
        <v>85</v>
      </c>
    </row>
    <row r="472" spans="4:7" x14ac:dyDescent="0.3">
      <c r="D472" s="1">
        <v>1995</v>
      </c>
      <c r="E472" s="1">
        <v>6</v>
      </c>
      <c r="F472" s="1" t="s">
        <v>238</v>
      </c>
      <c r="G472" s="1">
        <v>84</v>
      </c>
    </row>
    <row r="473" spans="4:7" ht="28.8" x14ac:dyDescent="0.3">
      <c r="D473" s="1">
        <v>1995</v>
      </c>
      <c r="E473" s="1">
        <v>6</v>
      </c>
      <c r="F473" s="1" t="s">
        <v>223</v>
      </c>
      <c r="G473" s="1">
        <v>73</v>
      </c>
    </row>
    <row r="474" spans="4:7" ht="28.8" x14ac:dyDescent="0.3">
      <c r="D474" s="1">
        <v>1995</v>
      </c>
      <c r="E474" s="1">
        <v>6</v>
      </c>
      <c r="F474" s="1" t="s">
        <v>286</v>
      </c>
      <c r="G474" s="1">
        <v>60</v>
      </c>
    </row>
    <row r="475" spans="4:7" ht="28.8" x14ac:dyDescent="0.3">
      <c r="D475" s="1">
        <v>1995</v>
      </c>
      <c r="E475" s="1">
        <v>6</v>
      </c>
      <c r="F475" s="1" t="s">
        <v>220</v>
      </c>
      <c r="G475" s="1">
        <v>60</v>
      </c>
    </row>
    <row r="476" spans="4:7" ht="28.8" x14ac:dyDescent="0.3">
      <c r="D476" s="1">
        <v>1995</v>
      </c>
      <c r="E476" s="1">
        <v>6</v>
      </c>
      <c r="F476" s="1" t="s">
        <v>248</v>
      </c>
      <c r="G476" s="1">
        <v>56</v>
      </c>
    </row>
    <row r="477" spans="4:7" ht="43.2" x14ac:dyDescent="0.3">
      <c r="D477" s="1">
        <v>1995</v>
      </c>
      <c r="E477" s="1">
        <v>6</v>
      </c>
      <c r="F477" s="1" t="s">
        <v>226</v>
      </c>
      <c r="G477" s="1">
        <v>55</v>
      </c>
    </row>
    <row r="478" spans="4:7" ht="43.2" x14ac:dyDescent="0.3">
      <c r="D478" s="1">
        <v>1995</v>
      </c>
      <c r="E478" s="1">
        <v>6</v>
      </c>
      <c r="F478" s="1" t="s">
        <v>260</v>
      </c>
      <c r="G478" s="1">
        <v>55</v>
      </c>
    </row>
    <row r="479" spans="4:7" ht="43.2" x14ac:dyDescent="0.3">
      <c r="D479" s="1">
        <v>1995</v>
      </c>
      <c r="E479" s="1">
        <v>6</v>
      </c>
      <c r="F479" s="1" t="s">
        <v>222</v>
      </c>
      <c r="G479" s="1">
        <v>54</v>
      </c>
    </row>
    <row r="480" spans="4:7" x14ac:dyDescent="0.3">
      <c r="D480" s="1">
        <v>1995</v>
      </c>
      <c r="E480" s="1">
        <v>6</v>
      </c>
      <c r="F480" s="1" t="s">
        <v>291</v>
      </c>
      <c r="G480" s="1">
        <v>53</v>
      </c>
    </row>
    <row r="481" spans="4:7" ht="28.8" x14ac:dyDescent="0.3">
      <c r="D481" s="1">
        <v>1995</v>
      </c>
      <c r="E481" s="1">
        <v>6</v>
      </c>
      <c r="F481" s="1" t="s">
        <v>241</v>
      </c>
      <c r="G481" s="1">
        <v>50</v>
      </c>
    </row>
    <row r="482" spans="4:7" ht="28.8" x14ac:dyDescent="0.3">
      <c r="D482" s="1">
        <v>1995</v>
      </c>
      <c r="E482" s="1">
        <v>6</v>
      </c>
      <c r="F482" s="1" t="s">
        <v>276</v>
      </c>
      <c r="G482" s="1">
        <v>49</v>
      </c>
    </row>
    <row r="483" spans="4:7" ht="57.6" x14ac:dyDescent="0.3">
      <c r="D483" s="1">
        <v>1995</v>
      </c>
      <c r="E483" s="1">
        <v>6</v>
      </c>
      <c r="F483" s="1" t="s">
        <v>253</v>
      </c>
      <c r="G483" s="1">
        <v>45</v>
      </c>
    </row>
    <row r="484" spans="4:7" ht="43.2" x14ac:dyDescent="0.3">
      <c r="D484" s="1">
        <v>1995</v>
      </c>
      <c r="E484" s="1">
        <v>6</v>
      </c>
      <c r="F484" s="1" t="s">
        <v>233</v>
      </c>
      <c r="G484" s="1">
        <v>40</v>
      </c>
    </row>
    <row r="485" spans="4:7" ht="28.8" x14ac:dyDescent="0.3">
      <c r="D485" s="1">
        <v>1995</v>
      </c>
      <c r="E485" s="1">
        <v>6</v>
      </c>
      <c r="F485" s="1" t="s">
        <v>255</v>
      </c>
      <c r="G485" s="1">
        <v>40</v>
      </c>
    </row>
    <row r="486" spans="4:7" ht="57.6" x14ac:dyDescent="0.3">
      <c r="D486" s="1">
        <v>1995</v>
      </c>
      <c r="E486" s="1">
        <v>6</v>
      </c>
      <c r="F486" s="1" t="s">
        <v>246</v>
      </c>
      <c r="G486" s="1">
        <v>36</v>
      </c>
    </row>
    <row r="487" spans="4:7" ht="43.2" x14ac:dyDescent="0.3">
      <c r="D487" s="1">
        <v>1995</v>
      </c>
      <c r="E487" s="1">
        <v>6</v>
      </c>
      <c r="F487" s="1" t="s">
        <v>245</v>
      </c>
      <c r="G487" s="1">
        <v>35</v>
      </c>
    </row>
    <row r="488" spans="4:7" ht="43.2" x14ac:dyDescent="0.3">
      <c r="D488" s="1">
        <v>1995</v>
      </c>
      <c r="E488" s="1">
        <v>6</v>
      </c>
      <c r="F488" s="1" t="s">
        <v>237</v>
      </c>
      <c r="G488" s="1">
        <v>35</v>
      </c>
    </row>
    <row r="489" spans="4:7" ht="43.2" x14ac:dyDescent="0.3">
      <c r="D489" s="1">
        <v>1995</v>
      </c>
      <c r="E489" s="1">
        <v>6</v>
      </c>
      <c r="F489" s="1" t="s">
        <v>219</v>
      </c>
      <c r="G489" s="1">
        <v>35</v>
      </c>
    </row>
    <row r="490" spans="4:7" ht="43.2" x14ac:dyDescent="0.3">
      <c r="D490" s="1">
        <v>1995</v>
      </c>
      <c r="E490" s="1">
        <v>6</v>
      </c>
      <c r="F490" s="1" t="s">
        <v>278</v>
      </c>
      <c r="G490" s="1">
        <v>35</v>
      </c>
    </row>
    <row r="491" spans="4:7" ht="28.8" x14ac:dyDescent="0.3">
      <c r="D491" s="1">
        <v>1995</v>
      </c>
      <c r="E491" s="1">
        <v>6</v>
      </c>
      <c r="F491" s="1" t="s">
        <v>216</v>
      </c>
      <c r="G491" s="1">
        <v>34</v>
      </c>
    </row>
    <row r="492" spans="4:7" ht="28.8" x14ac:dyDescent="0.3">
      <c r="D492" s="1">
        <v>1995</v>
      </c>
      <c r="E492" s="1">
        <v>6</v>
      </c>
      <c r="F492" s="1" t="s">
        <v>281</v>
      </c>
      <c r="G492" s="1">
        <v>33</v>
      </c>
    </row>
    <row r="493" spans="4:7" ht="43.2" x14ac:dyDescent="0.3">
      <c r="D493" s="1">
        <v>1995</v>
      </c>
      <c r="E493" s="1">
        <v>6</v>
      </c>
      <c r="F493" s="1" t="s">
        <v>221</v>
      </c>
      <c r="G493" s="1">
        <v>30</v>
      </c>
    </row>
    <row r="494" spans="4:7" ht="28.8" x14ac:dyDescent="0.3">
      <c r="D494" s="1">
        <v>1995</v>
      </c>
      <c r="E494" s="1">
        <v>6</v>
      </c>
      <c r="F494" s="1" t="s">
        <v>242</v>
      </c>
      <c r="G494" s="1">
        <v>30</v>
      </c>
    </row>
    <row r="495" spans="4:7" ht="57.6" x14ac:dyDescent="0.3">
      <c r="D495" s="1">
        <v>1995</v>
      </c>
      <c r="E495" s="1">
        <v>6</v>
      </c>
      <c r="F495" s="1" t="s">
        <v>265</v>
      </c>
      <c r="G495" s="1">
        <v>30</v>
      </c>
    </row>
    <row r="496" spans="4:7" ht="28.8" x14ac:dyDescent="0.3">
      <c r="D496" s="1">
        <v>1995</v>
      </c>
      <c r="E496" s="1">
        <v>6</v>
      </c>
      <c r="F496" s="1" t="s">
        <v>228</v>
      </c>
      <c r="G496" s="1">
        <v>28</v>
      </c>
    </row>
    <row r="497" spans="4:7" ht="57.6" x14ac:dyDescent="0.3">
      <c r="D497" s="1">
        <v>1995</v>
      </c>
      <c r="E497" s="1">
        <v>6</v>
      </c>
      <c r="F497" s="1" t="s">
        <v>283</v>
      </c>
      <c r="G497" s="1">
        <v>24</v>
      </c>
    </row>
    <row r="498" spans="4:7" ht="43.2" x14ac:dyDescent="0.3">
      <c r="D498" s="1">
        <v>1995</v>
      </c>
      <c r="E498" s="1">
        <v>6</v>
      </c>
      <c r="F498" s="1" t="s">
        <v>262</v>
      </c>
      <c r="G498" s="1">
        <v>24</v>
      </c>
    </row>
    <row r="499" spans="4:7" ht="43.2" x14ac:dyDescent="0.3">
      <c r="D499" s="1">
        <v>1995</v>
      </c>
      <c r="E499" s="1">
        <v>6</v>
      </c>
      <c r="F499" s="1" t="s">
        <v>269</v>
      </c>
      <c r="G499" s="1">
        <v>24</v>
      </c>
    </row>
    <row r="500" spans="4:7" ht="43.2" x14ac:dyDescent="0.3">
      <c r="D500" s="1">
        <v>1995</v>
      </c>
      <c r="E500" s="1">
        <v>6</v>
      </c>
      <c r="F500" s="1" t="s">
        <v>257</v>
      </c>
      <c r="G500" s="1">
        <v>21</v>
      </c>
    </row>
    <row r="501" spans="4:7" ht="72" x14ac:dyDescent="0.3">
      <c r="D501" s="1">
        <v>1995</v>
      </c>
      <c r="E501" s="1">
        <v>6</v>
      </c>
      <c r="F501" s="1" t="s">
        <v>263</v>
      </c>
      <c r="G501" s="1">
        <v>20</v>
      </c>
    </row>
    <row r="502" spans="4:7" ht="57.6" x14ac:dyDescent="0.3">
      <c r="D502" s="1">
        <v>1995</v>
      </c>
      <c r="E502" s="1">
        <v>6</v>
      </c>
      <c r="F502" s="1" t="s">
        <v>271</v>
      </c>
      <c r="G502" s="1">
        <v>20</v>
      </c>
    </row>
    <row r="503" spans="4:7" ht="28.8" x14ac:dyDescent="0.3">
      <c r="D503" s="1">
        <v>1995</v>
      </c>
      <c r="E503" s="1">
        <v>6</v>
      </c>
      <c r="F503" s="1" t="s">
        <v>287</v>
      </c>
      <c r="G503" s="1">
        <v>18</v>
      </c>
    </row>
    <row r="504" spans="4:7" x14ac:dyDescent="0.3">
      <c r="D504" s="1">
        <v>1995</v>
      </c>
      <c r="E504" s="1">
        <v>6</v>
      </c>
      <c r="F504" s="1" t="s">
        <v>275</v>
      </c>
      <c r="G504" s="1">
        <v>18</v>
      </c>
    </row>
    <row r="505" spans="4:7" ht="43.2" x14ac:dyDescent="0.3">
      <c r="D505" s="1">
        <v>1995</v>
      </c>
      <c r="E505" s="1">
        <v>6</v>
      </c>
      <c r="F505" s="1" t="s">
        <v>218</v>
      </c>
      <c r="G505" s="1">
        <v>17</v>
      </c>
    </row>
    <row r="506" spans="4:7" ht="57.6" x14ac:dyDescent="0.3">
      <c r="D506" s="1">
        <v>1995</v>
      </c>
      <c r="E506" s="1">
        <v>6</v>
      </c>
      <c r="F506" s="1" t="s">
        <v>229</v>
      </c>
      <c r="G506" s="1">
        <v>15</v>
      </c>
    </row>
    <row r="507" spans="4:7" ht="28.8" x14ac:dyDescent="0.3">
      <c r="D507" s="1">
        <v>1995</v>
      </c>
      <c r="E507" s="1">
        <v>6</v>
      </c>
      <c r="F507" s="1" t="s">
        <v>236</v>
      </c>
      <c r="G507" s="1">
        <v>14</v>
      </c>
    </row>
    <row r="508" spans="4:7" ht="72" x14ac:dyDescent="0.3">
      <c r="D508" s="1">
        <v>1995</v>
      </c>
      <c r="E508" s="1">
        <v>6</v>
      </c>
      <c r="F508" s="1" t="s">
        <v>231</v>
      </c>
      <c r="G508" s="1">
        <v>10</v>
      </c>
    </row>
    <row r="509" spans="4:7" ht="28.8" x14ac:dyDescent="0.3">
      <c r="D509" s="1">
        <v>1995</v>
      </c>
      <c r="E509" s="1">
        <v>6</v>
      </c>
      <c r="F509" s="1" t="s">
        <v>270</v>
      </c>
      <c r="G509" s="1">
        <v>10</v>
      </c>
    </row>
    <row r="510" spans="4:7" ht="43.2" x14ac:dyDescent="0.3">
      <c r="D510" s="1">
        <v>1995</v>
      </c>
      <c r="E510" s="1">
        <v>6</v>
      </c>
      <c r="F510" s="1" t="s">
        <v>272</v>
      </c>
      <c r="G510" s="1">
        <v>10</v>
      </c>
    </row>
    <row r="511" spans="4:7" ht="72" x14ac:dyDescent="0.3">
      <c r="D511" s="1">
        <v>1995</v>
      </c>
      <c r="E511" s="1">
        <v>6</v>
      </c>
      <c r="F511" s="1" t="s">
        <v>256</v>
      </c>
      <c r="G511" s="1">
        <v>10</v>
      </c>
    </row>
    <row r="512" spans="4:7" ht="28.8" x14ac:dyDescent="0.3">
      <c r="D512" s="1">
        <v>1995</v>
      </c>
      <c r="E512" s="1">
        <v>6</v>
      </c>
      <c r="F512" s="1" t="s">
        <v>235</v>
      </c>
      <c r="G512" s="1">
        <v>9</v>
      </c>
    </row>
    <row r="513" spans="4:7" x14ac:dyDescent="0.3">
      <c r="D513" s="1">
        <v>1995</v>
      </c>
      <c r="E513" s="1">
        <v>6</v>
      </c>
      <c r="F513" s="1" t="s">
        <v>249</v>
      </c>
      <c r="G513" s="1">
        <v>8</v>
      </c>
    </row>
    <row r="514" spans="4:7" ht="28.8" x14ac:dyDescent="0.3">
      <c r="D514" s="1">
        <v>1995</v>
      </c>
      <c r="E514" s="1">
        <v>6</v>
      </c>
      <c r="F514" s="1" t="s">
        <v>254</v>
      </c>
      <c r="G514" s="1">
        <v>7</v>
      </c>
    </row>
    <row r="515" spans="4:7" ht="43.2" x14ac:dyDescent="0.3">
      <c r="D515" s="1">
        <v>1995</v>
      </c>
      <c r="E515" s="1">
        <v>6</v>
      </c>
      <c r="F515" s="1" t="s">
        <v>289</v>
      </c>
      <c r="G515" s="1">
        <v>7</v>
      </c>
    </row>
    <row r="516" spans="4:7" ht="43.2" x14ac:dyDescent="0.3">
      <c r="D516" s="1">
        <v>1995</v>
      </c>
      <c r="E516" s="1">
        <v>6</v>
      </c>
      <c r="F516" s="1" t="s">
        <v>225</v>
      </c>
      <c r="G516" s="1">
        <v>7</v>
      </c>
    </row>
    <row r="517" spans="4:7" x14ac:dyDescent="0.3">
      <c r="D517" s="1">
        <v>1995</v>
      </c>
      <c r="E517" s="1">
        <v>6</v>
      </c>
      <c r="F517" s="1" t="s">
        <v>258</v>
      </c>
      <c r="G517" s="1">
        <v>6</v>
      </c>
    </row>
    <row r="518" spans="4:7" ht="28.8" x14ac:dyDescent="0.3">
      <c r="D518" s="1">
        <v>1995</v>
      </c>
      <c r="E518" s="1">
        <v>6</v>
      </c>
      <c r="F518" s="1" t="s">
        <v>267</v>
      </c>
      <c r="G518" s="1">
        <v>5</v>
      </c>
    </row>
    <row r="519" spans="4:7" x14ac:dyDescent="0.3">
      <c r="D519" s="1">
        <v>1995</v>
      </c>
      <c r="E519" s="1">
        <v>6</v>
      </c>
      <c r="F519" s="1" t="s">
        <v>232</v>
      </c>
      <c r="G519" s="1">
        <v>2</v>
      </c>
    </row>
    <row r="520" spans="4:7" ht="28.8" x14ac:dyDescent="0.3">
      <c r="D520" s="1">
        <v>1995</v>
      </c>
      <c r="E520" s="1">
        <v>7</v>
      </c>
      <c r="F520" s="1" t="s">
        <v>243</v>
      </c>
      <c r="G520" s="1">
        <v>171</v>
      </c>
    </row>
    <row r="521" spans="4:7" ht="57.6" x14ac:dyDescent="0.3">
      <c r="D521" s="1">
        <v>1995</v>
      </c>
      <c r="E521" s="1">
        <v>7</v>
      </c>
      <c r="F521" s="1" t="s">
        <v>265</v>
      </c>
      <c r="G521" s="1">
        <v>126</v>
      </c>
    </row>
    <row r="522" spans="4:7" ht="43.2" x14ac:dyDescent="0.3">
      <c r="D522" s="1">
        <v>1995</v>
      </c>
      <c r="E522" s="1">
        <v>7</v>
      </c>
      <c r="F522" s="1" t="s">
        <v>221</v>
      </c>
      <c r="G522" s="1">
        <v>100</v>
      </c>
    </row>
    <row r="523" spans="4:7" x14ac:dyDescent="0.3">
      <c r="D523" s="1">
        <v>1995</v>
      </c>
      <c r="E523" s="1">
        <v>7</v>
      </c>
      <c r="F523" s="1" t="s">
        <v>285</v>
      </c>
      <c r="G523" s="1">
        <v>100</v>
      </c>
    </row>
    <row r="524" spans="4:7" ht="43.2" x14ac:dyDescent="0.3">
      <c r="D524" s="1">
        <v>1995</v>
      </c>
      <c r="E524" s="1">
        <v>7</v>
      </c>
      <c r="F524" s="1" t="s">
        <v>222</v>
      </c>
      <c r="G524" s="1">
        <v>93</v>
      </c>
    </row>
    <row r="525" spans="4:7" ht="28.8" x14ac:dyDescent="0.3">
      <c r="D525" s="1">
        <v>1995</v>
      </c>
      <c r="E525" s="1">
        <v>7</v>
      </c>
      <c r="F525" s="1" t="s">
        <v>241</v>
      </c>
      <c r="G525" s="1">
        <v>64</v>
      </c>
    </row>
    <row r="526" spans="4:7" x14ac:dyDescent="0.3">
      <c r="D526" s="1">
        <v>1995</v>
      </c>
      <c r="E526" s="1">
        <v>7</v>
      </c>
      <c r="F526" s="1" t="s">
        <v>266</v>
      </c>
      <c r="G526" s="1">
        <v>56</v>
      </c>
    </row>
    <row r="527" spans="4:7" ht="43.2" x14ac:dyDescent="0.3">
      <c r="D527" s="1">
        <v>1995</v>
      </c>
      <c r="E527" s="1">
        <v>7</v>
      </c>
      <c r="F527" s="1" t="s">
        <v>226</v>
      </c>
      <c r="G527" s="1">
        <v>54</v>
      </c>
    </row>
    <row r="528" spans="4:7" ht="57.6" x14ac:dyDescent="0.3">
      <c r="D528" s="1">
        <v>1995</v>
      </c>
      <c r="E528" s="1">
        <v>7</v>
      </c>
      <c r="F528" s="1" t="s">
        <v>230</v>
      </c>
      <c r="G528" s="1">
        <v>54</v>
      </c>
    </row>
    <row r="529" spans="4:7" ht="43.2" x14ac:dyDescent="0.3">
      <c r="D529" s="1">
        <v>1995</v>
      </c>
      <c r="E529" s="1">
        <v>7</v>
      </c>
      <c r="F529" s="1" t="s">
        <v>218</v>
      </c>
      <c r="G529" s="1">
        <v>52</v>
      </c>
    </row>
    <row r="530" spans="4:7" ht="43.2" x14ac:dyDescent="0.3">
      <c r="D530" s="1">
        <v>1995</v>
      </c>
      <c r="E530" s="1">
        <v>7</v>
      </c>
      <c r="F530" s="1" t="s">
        <v>237</v>
      </c>
      <c r="G530" s="1">
        <v>52</v>
      </c>
    </row>
    <row r="531" spans="4:7" ht="28.8" x14ac:dyDescent="0.3">
      <c r="D531" s="1">
        <v>1995</v>
      </c>
      <c r="E531" s="1">
        <v>7</v>
      </c>
      <c r="F531" s="1" t="s">
        <v>250</v>
      </c>
      <c r="G531" s="1">
        <v>50</v>
      </c>
    </row>
    <row r="532" spans="4:7" ht="43.2" x14ac:dyDescent="0.3">
      <c r="D532" s="1">
        <v>1995</v>
      </c>
      <c r="E532" s="1">
        <v>7</v>
      </c>
      <c r="F532" s="1" t="s">
        <v>278</v>
      </c>
      <c r="G532" s="1">
        <v>43</v>
      </c>
    </row>
    <row r="533" spans="4:7" ht="28.8" x14ac:dyDescent="0.3">
      <c r="D533" s="1">
        <v>1995</v>
      </c>
      <c r="E533" s="1">
        <v>7</v>
      </c>
      <c r="F533" s="1" t="s">
        <v>234</v>
      </c>
      <c r="G533" s="1">
        <v>43</v>
      </c>
    </row>
    <row r="534" spans="4:7" ht="28.8" x14ac:dyDescent="0.3">
      <c r="D534" s="1">
        <v>1995</v>
      </c>
      <c r="E534" s="1">
        <v>7</v>
      </c>
      <c r="F534" s="1" t="s">
        <v>236</v>
      </c>
      <c r="G534" s="1">
        <v>43</v>
      </c>
    </row>
    <row r="535" spans="4:7" ht="28.8" x14ac:dyDescent="0.3">
      <c r="D535" s="1">
        <v>1995</v>
      </c>
      <c r="E535" s="1">
        <v>7</v>
      </c>
      <c r="F535" s="1" t="s">
        <v>270</v>
      </c>
      <c r="G535" s="1">
        <v>40</v>
      </c>
    </row>
    <row r="536" spans="4:7" ht="43.2" x14ac:dyDescent="0.3">
      <c r="D536" s="1">
        <v>1995</v>
      </c>
      <c r="E536" s="1">
        <v>7</v>
      </c>
      <c r="F536" s="1" t="s">
        <v>272</v>
      </c>
      <c r="G536" s="1">
        <v>35</v>
      </c>
    </row>
    <row r="537" spans="4:7" ht="28.8" x14ac:dyDescent="0.3">
      <c r="D537" s="1">
        <v>1995</v>
      </c>
      <c r="E537" s="1">
        <v>7</v>
      </c>
      <c r="F537" s="1" t="s">
        <v>220</v>
      </c>
      <c r="G537" s="1">
        <v>35</v>
      </c>
    </row>
    <row r="538" spans="4:7" x14ac:dyDescent="0.3">
      <c r="D538" s="1">
        <v>1995</v>
      </c>
      <c r="E538" s="1">
        <v>7</v>
      </c>
      <c r="F538" s="1" t="s">
        <v>291</v>
      </c>
      <c r="G538" s="1">
        <v>34</v>
      </c>
    </row>
    <row r="539" spans="4:7" ht="28.8" x14ac:dyDescent="0.3">
      <c r="D539" s="1">
        <v>1995</v>
      </c>
      <c r="E539" s="1">
        <v>7</v>
      </c>
      <c r="F539" s="1" t="s">
        <v>223</v>
      </c>
      <c r="G539" s="1">
        <v>34</v>
      </c>
    </row>
    <row r="540" spans="4:7" ht="28.8" x14ac:dyDescent="0.3">
      <c r="D540" s="1">
        <v>1995</v>
      </c>
      <c r="E540" s="1">
        <v>7</v>
      </c>
      <c r="F540" s="1" t="s">
        <v>255</v>
      </c>
      <c r="G540" s="1">
        <v>31</v>
      </c>
    </row>
    <row r="541" spans="4:7" ht="57.6" x14ac:dyDescent="0.3">
      <c r="D541" s="1">
        <v>1995</v>
      </c>
      <c r="E541" s="1">
        <v>7</v>
      </c>
      <c r="F541" s="1" t="s">
        <v>246</v>
      </c>
      <c r="G541" s="1">
        <v>30</v>
      </c>
    </row>
    <row r="542" spans="4:7" ht="57.6" x14ac:dyDescent="0.3">
      <c r="D542" s="1">
        <v>1995</v>
      </c>
      <c r="E542" s="1">
        <v>7</v>
      </c>
      <c r="F542" s="1" t="s">
        <v>261</v>
      </c>
      <c r="G542" s="1">
        <v>28</v>
      </c>
    </row>
    <row r="543" spans="4:7" ht="28.8" x14ac:dyDescent="0.3">
      <c r="D543" s="1">
        <v>1995</v>
      </c>
      <c r="E543" s="1">
        <v>7</v>
      </c>
      <c r="F543" s="1" t="s">
        <v>280</v>
      </c>
      <c r="G543" s="1">
        <v>25</v>
      </c>
    </row>
    <row r="544" spans="4:7" x14ac:dyDescent="0.3">
      <c r="D544" s="1">
        <v>1995</v>
      </c>
      <c r="E544" s="1">
        <v>7</v>
      </c>
      <c r="F544" s="1" t="s">
        <v>247</v>
      </c>
      <c r="G544" s="1">
        <v>25</v>
      </c>
    </row>
    <row r="545" spans="4:7" ht="43.2" x14ac:dyDescent="0.3">
      <c r="D545" s="1">
        <v>1995</v>
      </c>
      <c r="E545" s="1">
        <v>7</v>
      </c>
      <c r="F545" s="1" t="s">
        <v>219</v>
      </c>
      <c r="G545" s="1">
        <v>24</v>
      </c>
    </row>
    <row r="546" spans="4:7" ht="72" x14ac:dyDescent="0.3">
      <c r="D546" s="1">
        <v>1995</v>
      </c>
      <c r="E546" s="1">
        <v>7</v>
      </c>
      <c r="F546" s="1" t="s">
        <v>263</v>
      </c>
      <c r="G546" s="1">
        <v>21</v>
      </c>
    </row>
    <row r="547" spans="4:7" ht="43.2" x14ac:dyDescent="0.3">
      <c r="D547" s="1">
        <v>1995</v>
      </c>
      <c r="E547" s="1">
        <v>7</v>
      </c>
      <c r="F547" s="1" t="s">
        <v>245</v>
      </c>
      <c r="G547" s="1">
        <v>20</v>
      </c>
    </row>
    <row r="548" spans="4:7" ht="28.8" x14ac:dyDescent="0.3">
      <c r="D548" s="1">
        <v>1995</v>
      </c>
      <c r="E548" s="1">
        <v>7</v>
      </c>
      <c r="F548" s="1" t="s">
        <v>248</v>
      </c>
      <c r="G548" s="1">
        <v>20</v>
      </c>
    </row>
    <row r="549" spans="4:7" ht="28.8" x14ac:dyDescent="0.3">
      <c r="D549" s="1">
        <v>1995</v>
      </c>
      <c r="E549" s="1">
        <v>7</v>
      </c>
      <c r="F549" s="1" t="s">
        <v>224</v>
      </c>
      <c r="G549" s="1">
        <v>18</v>
      </c>
    </row>
    <row r="550" spans="4:7" ht="72" x14ac:dyDescent="0.3">
      <c r="D550" s="1">
        <v>1995</v>
      </c>
      <c r="E550" s="1">
        <v>7</v>
      </c>
      <c r="F550" s="1" t="s">
        <v>256</v>
      </c>
      <c r="G550" s="1">
        <v>18</v>
      </c>
    </row>
    <row r="551" spans="4:7" x14ac:dyDescent="0.3">
      <c r="D551" s="1">
        <v>1995</v>
      </c>
      <c r="E551" s="1">
        <v>7</v>
      </c>
      <c r="F551" s="1" t="s">
        <v>238</v>
      </c>
      <c r="G551" s="1">
        <v>12</v>
      </c>
    </row>
    <row r="552" spans="4:7" ht="43.2" x14ac:dyDescent="0.3">
      <c r="D552" s="1">
        <v>1995</v>
      </c>
      <c r="E552" s="1">
        <v>7</v>
      </c>
      <c r="F552" s="1" t="s">
        <v>262</v>
      </c>
      <c r="G552" s="1">
        <v>10</v>
      </c>
    </row>
    <row r="553" spans="4:7" x14ac:dyDescent="0.3">
      <c r="D553" s="1">
        <v>1995</v>
      </c>
      <c r="E553" s="1">
        <v>7</v>
      </c>
      <c r="F553" s="1" t="s">
        <v>249</v>
      </c>
      <c r="G553" s="1">
        <v>10</v>
      </c>
    </row>
    <row r="554" spans="4:7" ht="28.8" x14ac:dyDescent="0.3">
      <c r="D554" s="1">
        <v>1995</v>
      </c>
      <c r="E554" s="1">
        <v>7</v>
      </c>
      <c r="F554" s="1" t="s">
        <v>252</v>
      </c>
      <c r="G554" s="1">
        <v>10</v>
      </c>
    </row>
    <row r="555" spans="4:7" ht="28.8" x14ac:dyDescent="0.3">
      <c r="D555" s="1">
        <v>1995</v>
      </c>
      <c r="E555" s="1">
        <v>7</v>
      </c>
      <c r="F555" s="1" t="s">
        <v>267</v>
      </c>
      <c r="G555" s="1">
        <v>10</v>
      </c>
    </row>
    <row r="556" spans="4:7" ht="28.8" x14ac:dyDescent="0.3">
      <c r="D556" s="1">
        <v>1995</v>
      </c>
      <c r="E556" s="1">
        <v>7</v>
      </c>
      <c r="F556" s="1" t="s">
        <v>290</v>
      </c>
      <c r="G556" s="1">
        <v>10</v>
      </c>
    </row>
    <row r="557" spans="4:7" ht="28.8" x14ac:dyDescent="0.3">
      <c r="D557" s="1">
        <v>1995</v>
      </c>
      <c r="E557" s="1">
        <v>7</v>
      </c>
      <c r="F557" s="1" t="s">
        <v>228</v>
      </c>
      <c r="G557" s="1">
        <v>10</v>
      </c>
    </row>
    <row r="558" spans="4:7" ht="57.6" x14ac:dyDescent="0.3">
      <c r="D558" s="1">
        <v>1995</v>
      </c>
      <c r="E558" s="1">
        <v>7</v>
      </c>
      <c r="F558" s="1" t="s">
        <v>217</v>
      </c>
      <c r="G558" s="1">
        <v>10</v>
      </c>
    </row>
    <row r="559" spans="4:7" ht="28.8" x14ac:dyDescent="0.3">
      <c r="D559" s="1">
        <v>1995</v>
      </c>
      <c r="E559" s="1">
        <v>7</v>
      </c>
      <c r="F559" s="1" t="s">
        <v>240</v>
      </c>
      <c r="G559" s="1">
        <v>6</v>
      </c>
    </row>
    <row r="560" spans="4:7" x14ac:dyDescent="0.3">
      <c r="D560" s="1">
        <v>1995</v>
      </c>
      <c r="E560" s="1">
        <v>7</v>
      </c>
      <c r="F560" s="1" t="s">
        <v>232</v>
      </c>
      <c r="G560" s="1">
        <v>5</v>
      </c>
    </row>
    <row r="561" spans="4:7" ht="28.8" x14ac:dyDescent="0.3">
      <c r="D561" s="1">
        <v>1995</v>
      </c>
      <c r="E561" s="1">
        <v>7</v>
      </c>
      <c r="F561" s="1" t="s">
        <v>281</v>
      </c>
      <c r="G561" s="1">
        <v>3</v>
      </c>
    </row>
    <row r="562" spans="4:7" ht="43.2" x14ac:dyDescent="0.3">
      <c r="D562" s="1">
        <v>1995</v>
      </c>
      <c r="E562" s="1">
        <v>8</v>
      </c>
      <c r="F562" s="1" t="s">
        <v>219</v>
      </c>
      <c r="G562" s="1">
        <v>125</v>
      </c>
    </row>
    <row r="563" spans="4:7" ht="28.8" x14ac:dyDescent="0.3">
      <c r="D563" s="1">
        <v>1995</v>
      </c>
      <c r="E563" s="1">
        <v>8</v>
      </c>
      <c r="F563" s="1" t="s">
        <v>242</v>
      </c>
      <c r="G563" s="1">
        <v>120</v>
      </c>
    </row>
    <row r="564" spans="4:7" ht="57.6" x14ac:dyDescent="0.3">
      <c r="D564" s="1">
        <v>1995</v>
      </c>
      <c r="E564" s="1">
        <v>8</v>
      </c>
      <c r="F564" s="1" t="s">
        <v>261</v>
      </c>
      <c r="G564" s="1">
        <v>100</v>
      </c>
    </row>
    <row r="565" spans="4:7" ht="28.8" x14ac:dyDescent="0.3">
      <c r="D565" s="1">
        <v>1995</v>
      </c>
      <c r="E565" s="1">
        <v>8</v>
      </c>
      <c r="F565" s="1" t="s">
        <v>223</v>
      </c>
      <c r="G565" s="1">
        <v>100</v>
      </c>
    </row>
    <row r="566" spans="4:7" ht="28.8" x14ac:dyDescent="0.3">
      <c r="D566" s="1">
        <v>1995</v>
      </c>
      <c r="E566" s="1">
        <v>8</v>
      </c>
      <c r="F566" s="1" t="s">
        <v>241</v>
      </c>
      <c r="G566" s="1">
        <v>94</v>
      </c>
    </row>
    <row r="567" spans="4:7" ht="72" x14ac:dyDescent="0.3">
      <c r="D567" s="1">
        <v>1995</v>
      </c>
      <c r="E567" s="1">
        <v>8</v>
      </c>
      <c r="F567" s="1" t="s">
        <v>256</v>
      </c>
      <c r="G567" s="1">
        <v>85</v>
      </c>
    </row>
    <row r="568" spans="4:7" ht="28.8" x14ac:dyDescent="0.3">
      <c r="D568" s="1">
        <v>1995</v>
      </c>
      <c r="E568" s="1">
        <v>8</v>
      </c>
      <c r="F568" s="1" t="s">
        <v>228</v>
      </c>
      <c r="G568" s="1">
        <v>85</v>
      </c>
    </row>
    <row r="569" spans="4:7" ht="43.2" x14ac:dyDescent="0.3">
      <c r="D569" s="1">
        <v>1995</v>
      </c>
      <c r="E569" s="1">
        <v>8</v>
      </c>
      <c r="F569" s="1" t="s">
        <v>218</v>
      </c>
      <c r="G569" s="1">
        <v>85</v>
      </c>
    </row>
    <row r="570" spans="4:7" x14ac:dyDescent="0.3">
      <c r="D570" s="1">
        <v>1995</v>
      </c>
      <c r="E570" s="1">
        <v>8</v>
      </c>
      <c r="F570" s="1" t="s">
        <v>232</v>
      </c>
      <c r="G570" s="1">
        <v>80</v>
      </c>
    </row>
    <row r="571" spans="4:7" x14ac:dyDescent="0.3">
      <c r="D571" s="1">
        <v>1995</v>
      </c>
      <c r="E571" s="1">
        <v>8</v>
      </c>
      <c r="F571" s="1" t="s">
        <v>247</v>
      </c>
      <c r="G571" s="1">
        <v>76</v>
      </c>
    </row>
    <row r="572" spans="4:7" ht="57.6" x14ac:dyDescent="0.3">
      <c r="D572" s="1">
        <v>1995</v>
      </c>
      <c r="E572" s="1">
        <v>8</v>
      </c>
      <c r="F572" s="1" t="s">
        <v>265</v>
      </c>
      <c r="G572" s="1">
        <v>70</v>
      </c>
    </row>
    <row r="573" spans="4:7" x14ac:dyDescent="0.3">
      <c r="D573" s="1">
        <v>1995</v>
      </c>
      <c r="E573" s="1">
        <v>8</v>
      </c>
      <c r="F573" s="1" t="s">
        <v>275</v>
      </c>
      <c r="G573" s="1">
        <v>68</v>
      </c>
    </row>
    <row r="574" spans="4:7" ht="72" x14ac:dyDescent="0.3">
      <c r="D574" s="1">
        <v>1995</v>
      </c>
      <c r="E574" s="1">
        <v>8</v>
      </c>
      <c r="F574" s="1" t="s">
        <v>231</v>
      </c>
      <c r="G574" s="1">
        <v>55</v>
      </c>
    </row>
    <row r="575" spans="4:7" ht="28.8" x14ac:dyDescent="0.3">
      <c r="D575" s="1">
        <v>1995</v>
      </c>
      <c r="E575" s="1">
        <v>8</v>
      </c>
      <c r="F575" s="1" t="s">
        <v>248</v>
      </c>
      <c r="G575" s="1">
        <v>54</v>
      </c>
    </row>
    <row r="576" spans="4:7" ht="28.8" x14ac:dyDescent="0.3">
      <c r="D576" s="1">
        <v>1995</v>
      </c>
      <c r="E576" s="1">
        <v>8</v>
      </c>
      <c r="F576" s="1" t="s">
        <v>276</v>
      </c>
      <c r="G576" s="1">
        <v>54</v>
      </c>
    </row>
    <row r="577" spans="4:7" ht="43.2" x14ac:dyDescent="0.3">
      <c r="D577" s="1">
        <v>1995</v>
      </c>
      <c r="E577" s="1">
        <v>8</v>
      </c>
      <c r="F577" s="1" t="s">
        <v>244</v>
      </c>
      <c r="G577" s="1">
        <v>50</v>
      </c>
    </row>
    <row r="578" spans="4:7" ht="43.2" x14ac:dyDescent="0.3">
      <c r="D578" s="1">
        <v>1995</v>
      </c>
      <c r="E578" s="1">
        <v>8</v>
      </c>
      <c r="F578" s="1" t="s">
        <v>269</v>
      </c>
      <c r="G578" s="1">
        <v>48</v>
      </c>
    </row>
    <row r="579" spans="4:7" ht="43.2" x14ac:dyDescent="0.3">
      <c r="D579" s="1">
        <v>1995</v>
      </c>
      <c r="E579" s="1">
        <v>8</v>
      </c>
      <c r="F579" s="1" t="s">
        <v>221</v>
      </c>
      <c r="G579" s="1">
        <v>47</v>
      </c>
    </row>
    <row r="580" spans="4:7" x14ac:dyDescent="0.3">
      <c r="D580" s="1">
        <v>1995</v>
      </c>
      <c r="E580" s="1">
        <v>8</v>
      </c>
      <c r="F580" s="1" t="s">
        <v>258</v>
      </c>
      <c r="G580" s="1">
        <v>43</v>
      </c>
    </row>
    <row r="581" spans="4:7" ht="43.2" x14ac:dyDescent="0.3">
      <c r="D581" s="1">
        <v>1995</v>
      </c>
      <c r="E581" s="1">
        <v>8</v>
      </c>
      <c r="F581" s="1" t="s">
        <v>237</v>
      </c>
      <c r="G581" s="1">
        <v>42</v>
      </c>
    </row>
    <row r="582" spans="4:7" ht="28.8" x14ac:dyDescent="0.3">
      <c r="D582" s="1">
        <v>1995</v>
      </c>
      <c r="E582" s="1">
        <v>8</v>
      </c>
      <c r="F582" s="1" t="s">
        <v>224</v>
      </c>
      <c r="G582" s="1">
        <v>40</v>
      </c>
    </row>
    <row r="583" spans="4:7" ht="28.8" x14ac:dyDescent="0.3">
      <c r="D583" s="1">
        <v>1995</v>
      </c>
      <c r="E583" s="1">
        <v>8</v>
      </c>
      <c r="F583" s="1" t="s">
        <v>235</v>
      </c>
      <c r="G583" s="1">
        <v>39</v>
      </c>
    </row>
    <row r="584" spans="4:7" ht="43.2" x14ac:dyDescent="0.3">
      <c r="D584" s="1">
        <v>1995</v>
      </c>
      <c r="E584" s="1">
        <v>8</v>
      </c>
      <c r="F584" s="1" t="s">
        <v>278</v>
      </c>
      <c r="G584" s="1">
        <v>35</v>
      </c>
    </row>
    <row r="585" spans="4:7" ht="57.6" x14ac:dyDescent="0.3">
      <c r="D585" s="1">
        <v>1995</v>
      </c>
      <c r="E585" s="1">
        <v>8</v>
      </c>
      <c r="F585" s="1" t="s">
        <v>271</v>
      </c>
      <c r="G585" s="1">
        <v>30</v>
      </c>
    </row>
    <row r="586" spans="4:7" ht="28.8" x14ac:dyDescent="0.3">
      <c r="D586" s="1">
        <v>1995</v>
      </c>
      <c r="E586" s="1">
        <v>8</v>
      </c>
      <c r="F586" s="1" t="s">
        <v>281</v>
      </c>
      <c r="G586" s="1">
        <v>30</v>
      </c>
    </row>
    <row r="587" spans="4:7" x14ac:dyDescent="0.3">
      <c r="D587" s="1">
        <v>1995</v>
      </c>
      <c r="E587" s="1">
        <v>8</v>
      </c>
      <c r="F587" s="1" t="s">
        <v>238</v>
      </c>
      <c r="G587" s="1">
        <v>30</v>
      </c>
    </row>
    <row r="588" spans="4:7" x14ac:dyDescent="0.3">
      <c r="D588" s="1">
        <v>1995</v>
      </c>
      <c r="E588" s="1">
        <v>8</v>
      </c>
      <c r="F588" s="1" t="s">
        <v>249</v>
      </c>
      <c r="G588" s="1">
        <v>29</v>
      </c>
    </row>
    <row r="589" spans="4:7" x14ac:dyDescent="0.3">
      <c r="D589" s="1">
        <v>1995</v>
      </c>
      <c r="E589" s="1">
        <v>8</v>
      </c>
      <c r="F589" s="1" t="s">
        <v>285</v>
      </c>
      <c r="G589" s="1">
        <v>28</v>
      </c>
    </row>
    <row r="590" spans="4:7" ht="28.8" x14ac:dyDescent="0.3">
      <c r="D590" s="1">
        <v>1995</v>
      </c>
      <c r="E590" s="1">
        <v>8</v>
      </c>
      <c r="F590" s="1" t="s">
        <v>290</v>
      </c>
      <c r="G590" s="1">
        <v>25</v>
      </c>
    </row>
    <row r="591" spans="4:7" ht="28.8" x14ac:dyDescent="0.3">
      <c r="D591" s="1">
        <v>1995</v>
      </c>
      <c r="E591" s="1">
        <v>8</v>
      </c>
      <c r="F591" s="1" t="s">
        <v>236</v>
      </c>
      <c r="G591" s="1">
        <v>25</v>
      </c>
    </row>
    <row r="592" spans="4:7" ht="28.8" x14ac:dyDescent="0.3">
      <c r="D592" s="1">
        <v>1995</v>
      </c>
      <c r="E592" s="1">
        <v>8</v>
      </c>
      <c r="F592" s="1" t="s">
        <v>240</v>
      </c>
      <c r="G592" s="1">
        <v>24</v>
      </c>
    </row>
    <row r="593" spans="4:7" ht="57.6" x14ac:dyDescent="0.3">
      <c r="D593" s="1">
        <v>1995</v>
      </c>
      <c r="E593" s="1">
        <v>8</v>
      </c>
      <c r="F593" s="1" t="s">
        <v>229</v>
      </c>
      <c r="G593" s="1">
        <v>21</v>
      </c>
    </row>
    <row r="594" spans="4:7" ht="28.8" x14ac:dyDescent="0.3">
      <c r="D594" s="1">
        <v>1995</v>
      </c>
      <c r="E594" s="1">
        <v>8</v>
      </c>
      <c r="F594" s="1" t="s">
        <v>267</v>
      </c>
      <c r="G594" s="1">
        <v>20</v>
      </c>
    </row>
    <row r="595" spans="4:7" ht="28.8" x14ac:dyDescent="0.3">
      <c r="D595" s="1">
        <v>1995</v>
      </c>
      <c r="E595" s="1">
        <v>8</v>
      </c>
      <c r="F595" s="1" t="s">
        <v>220</v>
      </c>
      <c r="G595" s="1">
        <v>20</v>
      </c>
    </row>
    <row r="596" spans="4:7" ht="72" x14ac:dyDescent="0.3">
      <c r="D596" s="1">
        <v>1995</v>
      </c>
      <c r="E596" s="1">
        <v>8</v>
      </c>
      <c r="F596" s="1" t="s">
        <v>259</v>
      </c>
      <c r="G596" s="1">
        <v>20</v>
      </c>
    </row>
    <row r="597" spans="4:7" ht="28.8" x14ac:dyDescent="0.3">
      <c r="D597" s="1">
        <v>1995</v>
      </c>
      <c r="E597" s="1">
        <v>8</v>
      </c>
      <c r="F597" s="1" t="s">
        <v>280</v>
      </c>
      <c r="G597" s="1">
        <v>15</v>
      </c>
    </row>
    <row r="598" spans="4:7" ht="28.8" x14ac:dyDescent="0.3">
      <c r="D598" s="1">
        <v>1995</v>
      </c>
      <c r="E598" s="1">
        <v>8</v>
      </c>
      <c r="F598" s="1" t="s">
        <v>254</v>
      </c>
      <c r="G598" s="1">
        <v>15</v>
      </c>
    </row>
    <row r="599" spans="4:7" ht="28.8" x14ac:dyDescent="0.3">
      <c r="D599" s="1">
        <v>1995</v>
      </c>
      <c r="E599" s="1">
        <v>8</v>
      </c>
      <c r="F599" s="1" t="s">
        <v>216</v>
      </c>
      <c r="G599" s="1">
        <v>15</v>
      </c>
    </row>
    <row r="600" spans="4:7" ht="28.8" x14ac:dyDescent="0.3">
      <c r="D600" s="1">
        <v>1995</v>
      </c>
      <c r="E600" s="1">
        <v>8</v>
      </c>
      <c r="F600" s="1" t="s">
        <v>286</v>
      </c>
      <c r="G600" s="1">
        <v>14</v>
      </c>
    </row>
    <row r="601" spans="4:7" x14ac:dyDescent="0.3">
      <c r="D601" s="1">
        <v>1995</v>
      </c>
      <c r="E601" s="1">
        <v>8</v>
      </c>
      <c r="F601" s="1" t="s">
        <v>291</v>
      </c>
      <c r="G601" s="1">
        <v>14</v>
      </c>
    </row>
    <row r="602" spans="4:7" ht="43.2" x14ac:dyDescent="0.3">
      <c r="D602" s="1">
        <v>1995</v>
      </c>
      <c r="E602" s="1">
        <v>8</v>
      </c>
      <c r="F602" s="1" t="s">
        <v>257</v>
      </c>
      <c r="G602" s="1">
        <v>14</v>
      </c>
    </row>
    <row r="603" spans="4:7" ht="28.8" x14ac:dyDescent="0.3">
      <c r="D603" s="1">
        <v>1995</v>
      </c>
      <c r="E603" s="1">
        <v>8</v>
      </c>
      <c r="F603" s="1" t="s">
        <v>250</v>
      </c>
      <c r="G603" s="1">
        <v>14</v>
      </c>
    </row>
    <row r="604" spans="4:7" ht="57.6" x14ac:dyDescent="0.3">
      <c r="D604" s="1">
        <v>1995</v>
      </c>
      <c r="E604" s="1">
        <v>8</v>
      </c>
      <c r="F604" s="1" t="s">
        <v>246</v>
      </c>
      <c r="G604" s="1">
        <v>12</v>
      </c>
    </row>
    <row r="605" spans="4:7" ht="43.2" x14ac:dyDescent="0.3">
      <c r="D605" s="1">
        <v>1995</v>
      </c>
      <c r="E605" s="1">
        <v>8</v>
      </c>
      <c r="F605" s="1" t="s">
        <v>226</v>
      </c>
      <c r="G605" s="1">
        <v>12</v>
      </c>
    </row>
    <row r="606" spans="4:7" ht="43.2" x14ac:dyDescent="0.3">
      <c r="D606" s="1">
        <v>1995</v>
      </c>
      <c r="E606" s="1">
        <v>8</v>
      </c>
      <c r="F606" s="1" t="s">
        <v>233</v>
      </c>
      <c r="G606" s="1">
        <v>11</v>
      </c>
    </row>
    <row r="607" spans="4:7" x14ac:dyDescent="0.3">
      <c r="D607" s="1">
        <v>1995</v>
      </c>
      <c r="E607" s="1">
        <v>8</v>
      </c>
      <c r="F607" s="1" t="s">
        <v>239</v>
      </c>
      <c r="G607" s="1">
        <v>10</v>
      </c>
    </row>
    <row r="608" spans="4:7" ht="28.8" x14ac:dyDescent="0.3">
      <c r="D608" s="1">
        <v>1995</v>
      </c>
      <c r="E608" s="1">
        <v>8</v>
      </c>
      <c r="F608" s="1" t="s">
        <v>292</v>
      </c>
      <c r="G608" s="1">
        <v>6</v>
      </c>
    </row>
    <row r="609" spans="4:7" ht="28.8" x14ac:dyDescent="0.3">
      <c r="D609" s="1">
        <v>1995</v>
      </c>
      <c r="E609" s="1">
        <v>8</v>
      </c>
      <c r="F609" s="1" t="s">
        <v>252</v>
      </c>
      <c r="G609" s="1">
        <v>5</v>
      </c>
    </row>
    <row r="610" spans="4:7" x14ac:dyDescent="0.3">
      <c r="D610" s="1">
        <v>1995</v>
      </c>
      <c r="E610" s="1">
        <v>9</v>
      </c>
      <c r="F610" s="1" t="s">
        <v>239</v>
      </c>
      <c r="G610" s="1">
        <v>100</v>
      </c>
    </row>
    <row r="611" spans="4:7" ht="43.2" x14ac:dyDescent="0.3">
      <c r="D611" s="1">
        <v>1995</v>
      </c>
      <c r="E611" s="1">
        <v>9</v>
      </c>
      <c r="F611" s="1" t="s">
        <v>257</v>
      </c>
      <c r="G611" s="1">
        <v>97</v>
      </c>
    </row>
    <row r="612" spans="4:7" ht="43.2" x14ac:dyDescent="0.3">
      <c r="D612" s="1">
        <v>1995</v>
      </c>
      <c r="E612" s="1">
        <v>9</v>
      </c>
      <c r="F612" s="1" t="s">
        <v>269</v>
      </c>
      <c r="G612" s="1">
        <v>95</v>
      </c>
    </row>
    <row r="613" spans="4:7" ht="28.8" x14ac:dyDescent="0.3">
      <c r="D613" s="1">
        <v>1995</v>
      </c>
      <c r="E613" s="1">
        <v>9</v>
      </c>
      <c r="F613" s="1" t="s">
        <v>220</v>
      </c>
      <c r="G613" s="1">
        <v>95</v>
      </c>
    </row>
    <row r="614" spans="4:7" ht="28.8" x14ac:dyDescent="0.3">
      <c r="D614" s="1">
        <v>1995</v>
      </c>
      <c r="E614" s="1">
        <v>9</v>
      </c>
      <c r="F614" s="1" t="s">
        <v>224</v>
      </c>
      <c r="G614" s="1">
        <v>82</v>
      </c>
    </row>
    <row r="615" spans="4:7" ht="43.2" x14ac:dyDescent="0.3">
      <c r="D615" s="1">
        <v>1995</v>
      </c>
      <c r="E615" s="1">
        <v>9</v>
      </c>
      <c r="F615" s="1" t="s">
        <v>221</v>
      </c>
      <c r="G615" s="1">
        <v>80</v>
      </c>
    </row>
    <row r="616" spans="4:7" ht="43.2" x14ac:dyDescent="0.3">
      <c r="D616" s="1">
        <v>1995</v>
      </c>
      <c r="E616" s="1">
        <v>9</v>
      </c>
      <c r="F616" s="1" t="s">
        <v>226</v>
      </c>
      <c r="G616" s="1">
        <v>75</v>
      </c>
    </row>
    <row r="617" spans="4:7" ht="72" x14ac:dyDescent="0.3">
      <c r="D617" s="1">
        <v>1995</v>
      </c>
      <c r="E617" s="1">
        <v>9</v>
      </c>
      <c r="F617" s="1" t="s">
        <v>268</v>
      </c>
      <c r="G617" s="1">
        <v>70</v>
      </c>
    </row>
    <row r="618" spans="4:7" ht="28.8" x14ac:dyDescent="0.3">
      <c r="D618" s="1">
        <v>1995</v>
      </c>
      <c r="E618" s="1">
        <v>9</v>
      </c>
      <c r="F618" s="1" t="s">
        <v>235</v>
      </c>
      <c r="G618" s="1">
        <v>65</v>
      </c>
    </row>
    <row r="619" spans="4:7" ht="43.2" x14ac:dyDescent="0.3">
      <c r="D619" s="1">
        <v>1995</v>
      </c>
      <c r="E619" s="1">
        <v>9</v>
      </c>
      <c r="F619" s="1" t="s">
        <v>237</v>
      </c>
      <c r="G619" s="1">
        <v>60</v>
      </c>
    </row>
    <row r="620" spans="4:7" ht="43.2" x14ac:dyDescent="0.3">
      <c r="D620" s="1">
        <v>1995</v>
      </c>
      <c r="E620" s="1">
        <v>9</v>
      </c>
      <c r="F620" s="1" t="s">
        <v>272</v>
      </c>
      <c r="G620" s="1">
        <v>50</v>
      </c>
    </row>
    <row r="621" spans="4:7" ht="43.2" x14ac:dyDescent="0.3">
      <c r="D621" s="1">
        <v>1995</v>
      </c>
      <c r="E621" s="1">
        <v>9</v>
      </c>
      <c r="F621" s="1" t="s">
        <v>225</v>
      </c>
      <c r="G621" s="1">
        <v>45</v>
      </c>
    </row>
    <row r="622" spans="4:7" ht="28.8" x14ac:dyDescent="0.3">
      <c r="D622" s="1">
        <v>1995</v>
      </c>
      <c r="E622" s="1">
        <v>9</v>
      </c>
      <c r="F622" s="1" t="s">
        <v>252</v>
      </c>
      <c r="G622" s="1">
        <v>41</v>
      </c>
    </row>
    <row r="623" spans="4:7" x14ac:dyDescent="0.3">
      <c r="D623" s="1">
        <v>1995</v>
      </c>
      <c r="E623" s="1">
        <v>9</v>
      </c>
      <c r="F623" s="1" t="s">
        <v>249</v>
      </c>
      <c r="G623" s="1">
        <v>40</v>
      </c>
    </row>
    <row r="624" spans="4:7" ht="28.8" x14ac:dyDescent="0.3">
      <c r="D624" s="1">
        <v>1995</v>
      </c>
      <c r="E624" s="1">
        <v>9</v>
      </c>
      <c r="F624" s="1" t="s">
        <v>234</v>
      </c>
      <c r="G624" s="1">
        <v>37</v>
      </c>
    </row>
    <row r="625" spans="4:7" ht="57.6" x14ac:dyDescent="0.3">
      <c r="D625" s="1">
        <v>1995</v>
      </c>
      <c r="E625" s="1">
        <v>9</v>
      </c>
      <c r="F625" s="1" t="s">
        <v>253</v>
      </c>
      <c r="G625" s="1">
        <v>36</v>
      </c>
    </row>
    <row r="626" spans="4:7" ht="28.8" x14ac:dyDescent="0.3">
      <c r="D626" s="1">
        <v>1995</v>
      </c>
      <c r="E626" s="1">
        <v>9</v>
      </c>
      <c r="F626" s="1" t="s">
        <v>254</v>
      </c>
      <c r="G626" s="1">
        <v>35</v>
      </c>
    </row>
    <row r="627" spans="4:7" ht="28.8" x14ac:dyDescent="0.3">
      <c r="D627" s="1">
        <v>1995</v>
      </c>
      <c r="E627" s="1">
        <v>9</v>
      </c>
      <c r="F627" s="1" t="s">
        <v>281</v>
      </c>
      <c r="G627" s="1">
        <v>35</v>
      </c>
    </row>
    <row r="628" spans="4:7" ht="28.8" x14ac:dyDescent="0.3">
      <c r="D628" s="1">
        <v>1995</v>
      </c>
      <c r="E628" s="1">
        <v>9</v>
      </c>
      <c r="F628" s="1" t="s">
        <v>241</v>
      </c>
      <c r="G628" s="1">
        <v>35</v>
      </c>
    </row>
    <row r="629" spans="4:7" ht="43.2" x14ac:dyDescent="0.3">
      <c r="D629" s="1">
        <v>1995</v>
      </c>
      <c r="E629" s="1">
        <v>9</v>
      </c>
      <c r="F629" s="1" t="s">
        <v>233</v>
      </c>
      <c r="G629" s="1">
        <v>35</v>
      </c>
    </row>
    <row r="630" spans="4:7" ht="72" x14ac:dyDescent="0.3">
      <c r="D630" s="1">
        <v>1995</v>
      </c>
      <c r="E630" s="1">
        <v>9</v>
      </c>
      <c r="F630" s="1" t="s">
        <v>231</v>
      </c>
      <c r="G630" s="1">
        <v>35</v>
      </c>
    </row>
    <row r="631" spans="4:7" ht="72" x14ac:dyDescent="0.3">
      <c r="D631" s="1">
        <v>1995</v>
      </c>
      <c r="E631" s="1">
        <v>9</v>
      </c>
      <c r="F631" s="1" t="s">
        <v>259</v>
      </c>
      <c r="G631" s="1">
        <v>35</v>
      </c>
    </row>
    <row r="632" spans="4:7" ht="72" x14ac:dyDescent="0.3">
      <c r="D632" s="1">
        <v>1995</v>
      </c>
      <c r="E632" s="1">
        <v>9</v>
      </c>
      <c r="F632" s="1" t="s">
        <v>256</v>
      </c>
      <c r="G632" s="1">
        <v>35</v>
      </c>
    </row>
    <row r="633" spans="4:7" ht="43.2" x14ac:dyDescent="0.3">
      <c r="D633" s="1">
        <v>1995</v>
      </c>
      <c r="E633" s="1">
        <v>9</v>
      </c>
      <c r="F633" s="1" t="s">
        <v>260</v>
      </c>
      <c r="G633" s="1">
        <v>33</v>
      </c>
    </row>
    <row r="634" spans="4:7" ht="28.8" x14ac:dyDescent="0.3">
      <c r="D634" s="1">
        <v>1995</v>
      </c>
      <c r="E634" s="1">
        <v>9</v>
      </c>
      <c r="F634" s="1" t="s">
        <v>248</v>
      </c>
      <c r="G634" s="1">
        <v>30</v>
      </c>
    </row>
    <row r="635" spans="4:7" ht="43.2" x14ac:dyDescent="0.3">
      <c r="D635" s="1">
        <v>1995</v>
      </c>
      <c r="E635" s="1">
        <v>9</v>
      </c>
      <c r="F635" s="1" t="s">
        <v>219</v>
      </c>
      <c r="G635" s="1">
        <v>30</v>
      </c>
    </row>
    <row r="636" spans="4:7" ht="28.8" x14ac:dyDescent="0.3">
      <c r="D636" s="1">
        <v>1995</v>
      </c>
      <c r="E636" s="1">
        <v>9</v>
      </c>
      <c r="F636" s="1" t="s">
        <v>276</v>
      </c>
      <c r="G636" s="1">
        <v>30</v>
      </c>
    </row>
    <row r="637" spans="4:7" ht="43.2" x14ac:dyDescent="0.3">
      <c r="D637" s="1">
        <v>1995</v>
      </c>
      <c r="E637" s="1">
        <v>9</v>
      </c>
      <c r="F637" s="1" t="s">
        <v>245</v>
      </c>
      <c r="G637" s="1">
        <v>30</v>
      </c>
    </row>
    <row r="638" spans="4:7" ht="57.6" x14ac:dyDescent="0.3">
      <c r="D638" s="1">
        <v>1995</v>
      </c>
      <c r="E638" s="1">
        <v>9</v>
      </c>
      <c r="F638" s="1" t="s">
        <v>217</v>
      </c>
      <c r="G638" s="1">
        <v>26</v>
      </c>
    </row>
    <row r="639" spans="4:7" ht="28.8" x14ac:dyDescent="0.3">
      <c r="D639" s="1">
        <v>1995</v>
      </c>
      <c r="E639" s="1">
        <v>9</v>
      </c>
      <c r="F639" s="1" t="s">
        <v>284</v>
      </c>
      <c r="G639" s="1">
        <v>25</v>
      </c>
    </row>
    <row r="640" spans="4:7" x14ac:dyDescent="0.3">
      <c r="D640" s="1">
        <v>1995</v>
      </c>
      <c r="E640" s="1">
        <v>9</v>
      </c>
      <c r="F640" s="1" t="s">
        <v>266</v>
      </c>
      <c r="G640" s="1">
        <v>24</v>
      </c>
    </row>
    <row r="641" spans="4:7" ht="43.2" x14ac:dyDescent="0.3">
      <c r="D641" s="1">
        <v>1995</v>
      </c>
      <c r="E641" s="1">
        <v>9</v>
      </c>
      <c r="F641" s="1" t="s">
        <v>278</v>
      </c>
      <c r="G641" s="1">
        <v>23</v>
      </c>
    </row>
    <row r="642" spans="4:7" x14ac:dyDescent="0.3">
      <c r="D642" s="1">
        <v>1995</v>
      </c>
      <c r="E642" s="1">
        <v>9</v>
      </c>
      <c r="F642" s="1" t="s">
        <v>273</v>
      </c>
      <c r="G642" s="1">
        <v>23</v>
      </c>
    </row>
    <row r="643" spans="4:7" ht="57.6" x14ac:dyDescent="0.3">
      <c r="D643" s="1">
        <v>1995</v>
      </c>
      <c r="E643" s="1">
        <v>9</v>
      </c>
      <c r="F643" s="1" t="s">
        <v>246</v>
      </c>
      <c r="G643" s="1">
        <v>21</v>
      </c>
    </row>
    <row r="644" spans="4:7" x14ac:dyDescent="0.3">
      <c r="D644" s="1">
        <v>1995</v>
      </c>
      <c r="E644" s="1">
        <v>9</v>
      </c>
      <c r="F644" s="1" t="s">
        <v>291</v>
      </c>
      <c r="G644" s="1">
        <v>20</v>
      </c>
    </row>
    <row r="645" spans="4:7" ht="28.8" x14ac:dyDescent="0.3">
      <c r="D645" s="1">
        <v>1995</v>
      </c>
      <c r="E645" s="1">
        <v>9</v>
      </c>
      <c r="F645" s="1" t="s">
        <v>279</v>
      </c>
      <c r="G645" s="1">
        <v>20</v>
      </c>
    </row>
    <row r="646" spans="4:7" ht="28.8" x14ac:dyDescent="0.3">
      <c r="D646" s="1">
        <v>1995</v>
      </c>
      <c r="E646" s="1">
        <v>9</v>
      </c>
      <c r="F646" s="1" t="s">
        <v>228</v>
      </c>
      <c r="G646" s="1">
        <v>20</v>
      </c>
    </row>
    <row r="647" spans="4:7" ht="28.8" x14ac:dyDescent="0.3">
      <c r="D647" s="1">
        <v>1995</v>
      </c>
      <c r="E647" s="1">
        <v>9</v>
      </c>
      <c r="F647" s="1" t="s">
        <v>242</v>
      </c>
      <c r="G647" s="1">
        <v>20</v>
      </c>
    </row>
    <row r="648" spans="4:7" ht="28.8" x14ac:dyDescent="0.3">
      <c r="D648" s="1">
        <v>1995</v>
      </c>
      <c r="E648" s="1">
        <v>9</v>
      </c>
      <c r="F648" s="1" t="s">
        <v>227</v>
      </c>
      <c r="G648" s="1">
        <v>20</v>
      </c>
    </row>
    <row r="649" spans="4:7" x14ac:dyDescent="0.3">
      <c r="D649" s="1">
        <v>1995</v>
      </c>
      <c r="E649" s="1">
        <v>9</v>
      </c>
      <c r="F649" s="1" t="s">
        <v>232</v>
      </c>
      <c r="G649" s="1">
        <v>18</v>
      </c>
    </row>
    <row r="650" spans="4:7" ht="43.2" x14ac:dyDescent="0.3">
      <c r="D650" s="1">
        <v>1995</v>
      </c>
      <c r="E650" s="1">
        <v>9</v>
      </c>
      <c r="F650" s="1" t="s">
        <v>222</v>
      </c>
      <c r="G650" s="1">
        <v>15</v>
      </c>
    </row>
    <row r="651" spans="4:7" ht="57.6" x14ac:dyDescent="0.3">
      <c r="D651" s="1">
        <v>1995</v>
      </c>
      <c r="E651" s="1">
        <v>9</v>
      </c>
      <c r="F651" s="1" t="s">
        <v>274</v>
      </c>
      <c r="G651" s="1">
        <v>15</v>
      </c>
    </row>
    <row r="652" spans="4:7" x14ac:dyDescent="0.3">
      <c r="D652" s="1">
        <v>1995</v>
      </c>
      <c r="E652" s="1">
        <v>9</v>
      </c>
      <c r="F652" s="1" t="s">
        <v>247</v>
      </c>
      <c r="G652" s="1">
        <v>15</v>
      </c>
    </row>
    <row r="653" spans="4:7" x14ac:dyDescent="0.3">
      <c r="D653" s="1">
        <v>1995</v>
      </c>
      <c r="E653" s="1">
        <v>9</v>
      </c>
      <c r="F653" s="1" t="s">
        <v>275</v>
      </c>
      <c r="G653" s="1">
        <v>13</v>
      </c>
    </row>
    <row r="654" spans="4:7" ht="28.8" x14ac:dyDescent="0.3">
      <c r="D654" s="1">
        <v>1995</v>
      </c>
      <c r="E654" s="1">
        <v>9</v>
      </c>
      <c r="F654" s="1" t="s">
        <v>236</v>
      </c>
      <c r="G654" s="1">
        <v>12</v>
      </c>
    </row>
    <row r="655" spans="4:7" ht="28.8" x14ac:dyDescent="0.3">
      <c r="D655" s="1">
        <v>1995</v>
      </c>
      <c r="E655" s="1">
        <v>9</v>
      </c>
      <c r="F655" s="1" t="s">
        <v>277</v>
      </c>
      <c r="G655" s="1">
        <v>10</v>
      </c>
    </row>
    <row r="656" spans="4:7" ht="28.8" x14ac:dyDescent="0.3">
      <c r="D656" s="1">
        <v>1995</v>
      </c>
      <c r="E656" s="1">
        <v>9</v>
      </c>
      <c r="F656" s="1" t="s">
        <v>255</v>
      </c>
      <c r="G656" s="1">
        <v>10</v>
      </c>
    </row>
    <row r="657" spans="4:7" ht="57.6" x14ac:dyDescent="0.3">
      <c r="D657" s="1">
        <v>1995</v>
      </c>
      <c r="E657" s="1">
        <v>9</v>
      </c>
      <c r="F657" s="1" t="s">
        <v>265</v>
      </c>
      <c r="G657" s="1">
        <v>10</v>
      </c>
    </row>
    <row r="658" spans="4:7" ht="28.8" x14ac:dyDescent="0.3">
      <c r="D658" s="1">
        <v>1995</v>
      </c>
      <c r="E658" s="1">
        <v>9</v>
      </c>
      <c r="F658" s="1" t="s">
        <v>250</v>
      </c>
      <c r="G658" s="1">
        <v>10</v>
      </c>
    </row>
    <row r="659" spans="4:7" ht="57.6" x14ac:dyDescent="0.3">
      <c r="D659" s="1">
        <v>1995</v>
      </c>
      <c r="E659" s="1">
        <v>9</v>
      </c>
      <c r="F659" s="1" t="s">
        <v>230</v>
      </c>
      <c r="G659" s="1">
        <v>9</v>
      </c>
    </row>
    <row r="660" spans="4:7" ht="57.6" x14ac:dyDescent="0.3">
      <c r="D660" s="1">
        <v>1995</v>
      </c>
      <c r="E660" s="1">
        <v>9</v>
      </c>
      <c r="F660" s="1" t="s">
        <v>271</v>
      </c>
      <c r="G660" s="1">
        <v>6</v>
      </c>
    </row>
    <row r="661" spans="4:7" x14ac:dyDescent="0.3">
      <c r="D661" s="1">
        <v>1995</v>
      </c>
      <c r="E661" s="1">
        <v>9</v>
      </c>
      <c r="F661" s="1" t="s">
        <v>285</v>
      </c>
      <c r="G661" s="1">
        <v>5</v>
      </c>
    </row>
    <row r="662" spans="4:7" ht="57.6" x14ac:dyDescent="0.3">
      <c r="D662" s="1">
        <v>1995</v>
      </c>
      <c r="E662" s="1">
        <v>9</v>
      </c>
      <c r="F662" s="1" t="s">
        <v>261</v>
      </c>
      <c r="G662" s="1">
        <v>5</v>
      </c>
    </row>
    <row r="663" spans="4:7" ht="72" x14ac:dyDescent="0.3">
      <c r="D663" s="1">
        <v>1995</v>
      </c>
      <c r="E663" s="1">
        <v>10</v>
      </c>
      <c r="F663" s="1" t="s">
        <v>263</v>
      </c>
      <c r="G663" s="1">
        <v>168</v>
      </c>
    </row>
    <row r="664" spans="4:7" ht="43.2" x14ac:dyDescent="0.3">
      <c r="D664" s="1">
        <v>1995</v>
      </c>
      <c r="E664" s="1">
        <v>10</v>
      </c>
      <c r="F664" s="1" t="s">
        <v>237</v>
      </c>
      <c r="G664" s="1">
        <v>144</v>
      </c>
    </row>
    <row r="665" spans="4:7" ht="43.2" x14ac:dyDescent="0.3">
      <c r="D665" s="1">
        <v>1995</v>
      </c>
      <c r="E665" s="1">
        <v>10</v>
      </c>
      <c r="F665" s="1" t="s">
        <v>219</v>
      </c>
      <c r="G665" s="1">
        <v>135</v>
      </c>
    </row>
    <row r="666" spans="4:7" x14ac:dyDescent="0.3">
      <c r="D666" s="1">
        <v>1995</v>
      </c>
      <c r="E666" s="1">
        <v>10</v>
      </c>
      <c r="F666" s="1" t="s">
        <v>273</v>
      </c>
      <c r="G666" s="1">
        <v>105</v>
      </c>
    </row>
    <row r="667" spans="4:7" ht="57.6" x14ac:dyDescent="0.3">
      <c r="D667" s="1">
        <v>1995</v>
      </c>
      <c r="E667" s="1">
        <v>10</v>
      </c>
      <c r="F667" s="1" t="s">
        <v>253</v>
      </c>
      <c r="G667" s="1">
        <v>100</v>
      </c>
    </row>
    <row r="668" spans="4:7" ht="57.6" x14ac:dyDescent="0.3">
      <c r="D668" s="1">
        <v>1995</v>
      </c>
      <c r="E668" s="1">
        <v>10</v>
      </c>
      <c r="F668" s="1" t="s">
        <v>261</v>
      </c>
      <c r="G668" s="1">
        <v>96</v>
      </c>
    </row>
    <row r="669" spans="4:7" x14ac:dyDescent="0.3">
      <c r="D669" s="1">
        <v>1995</v>
      </c>
      <c r="E669" s="1">
        <v>10</v>
      </c>
      <c r="F669" s="1" t="s">
        <v>238</v>
      </c>
      <c r="G669" s="1">
        <v>93</v>
      </c>
    </row>
    <row r="670" spans="4:7" ht="57.6" x14ac:dyDescent="0.3">
      <c r="D670" s="1">
        <v>1995</v>
      </c>
      <c r="E670" s="1">
        <v>10</v>
      </c>
      <c r="F670" s="1" t="s">
        <v>271</v>
      </c>
      <c r="G670" s="1">
        <v>79</v>
      </c>
    </row>
    <row r="671" spans="4:7" ht="43.2" x14ac:dyDescent="0.3">
      <c r="D671" s="1">
        <v>1995</v>
      </c>
      <c r="E671" s="1">
        <v>10</v>
      </c>
      <c r="F671" s="1" t="s">
        <v>257</v>
      </c>
      <c r="G671" s="1">
        <v>72</v>
      </c>
    </row>
    <row r="672" spans="4:7" ht="28.8" x14ac:dyDescent="0.3">
      <c r="D672" s="1">
        <v>1995</v>
      </c>
      <c r="E672" s="1">
        <v>10</v>
      </c>
      <c r="F672" s="1" t="s">
        <v>280</v>
      </c>
      <c r="G672" s="1">
        <v>71</v>
      </c>
    </row>
    <row r="673" spans="4:7" ht="72" x14ac:dyDescent="0.3">
      <c r="D673" s="1">
        <v>1995</v>
      </c>
      <c r="E673" s="1">
        <v>10</v>
      </c>
      <c r="F673" s="1" t="s">
        <v>256</v>
      </c>
      <c r="G673" s="1">
        <v>70</v>
      </c>
    </row>
    <row r="674" spans="4:7" x14ac:dyDescent="0.3">
      <c r="D674" s="1">
        <v>1995</v>
      </c>
      <c r="E674" s="1">
        <v>10</v>
      </c>
      <c r="F674" s="1" t="s">
        <v>291</v>
      </c>
      <c r="G674" s="1">
        <v>68</v>
      </c>
    </row>
    <row r="675" spans="4:7" ht="43.2" x14ac:dyDescent="0.3">
      <c r="D675" s="1">
        <v>1995</v>
      </c>
      <c r="E675" s="1">
        <v>10</v>
      </c>
      <c r="F675" s="1" t="s">
        <v>221</v>
      </c>
      <c r="G675" s="1">
        <v>57</v>
      </c>
    </row>
    <row r="676" spans="4:7" ht="57.6" x14ac:dyDescent="0.3">
      <c r="D676" s="1">
        <v>1995</v>
      </c>
      <c r="E676" s="1">
        <v>10</v>
      </c>
      <c r="F676" s="1" t="s">
        <v>265</v>
      </c>
      <c r="G676" s="1">
        <v>55</v>
      </c>
    </row>
    <row r="677" spans="4:7" ht="28.8" x14ac:dyDescent="0.3">
      <c r="D677" s="1">
        <v>1995</v>
      </c>
      <c r="E677" s="1">
        <v>10</v>
      </c>
      <c r="F677" s="1" t="s">
        <v>290</v>
      </c>
      <c r="G677" s="1">
        <v>50</v>
      </c>
    </row>
    <row r="678" spans="4:7" ht="28.8" x14ac:dyDescent="0.3">
      <c r="D678" s="1">
        <v>1995</v>
      </c>
      <c r="E678" s="1">
        <v>10</v>
      </c>
      <c r="F678" s="1" t="s">
        <v>281</v>
      </c>
      <c r="G678" s="1">
        <v>50</v>
      </c>
    </row>
    <row r="679" spans="4:7" ht="43.2" x14ac:dyDescent="0.3">
      <c r="D679" s="1">
        <v>1995</v>
      </c>
      <c r="E679" s="1">
        <v>10</v>
      </c>
      <c r="F679" s="1" t="s">
        <v>264</v>
      </c>
      <c r="G679" s="1">
        <v>50</v>
      </c>
    </row>
    <row r="680" spans="4:7" ht="43.2" x14ac:dyDescent="0.3">
      <c r="D680" s="1">
        <v>1995</v>
      </c>
      <c r="E680" s="1">
        <v>10</v>
      </c>
      <c r="F680" s="1" t="s">
        <v>272</v>
      </c>
      <c r="G680" s="1">
        <v>49</v>
      </c>
    </row>
    <row r="681" spans="4:7" ht="28.8" x14ac:dyDescent="0.3">
      <c r="D681" s="1">
        <v>1995</v>
      </c>
      <c r="E681" s="1">
        <v>10</v>
      </c>
      <c r="F681" s="1" t="s">
        <v>255</v>
      </c>
      <c r="G681" s="1">
        <v>49</v>
      </c>
    </row>
    <row r="682" spans="4:7" ht="28.8" x14ac:dyDescent="0.3">
      <c r="D682" s="1">
        <v>1995</v>
      </c>
      <c r="E682" s="1">
        <v>10</v>
      </c>
      <c r="F682" s="1" t="s">
        <v>243</v>
      </c>
      <c r="G682" s="1">
        <v>48</v>
      </c>
    </row>
    <row r="683" spans="4:7" x14ac:dyDescent="0.3">
      <c r="D683" s="1">
        <v>1995</v>
      </c>
      <c r="E683" s="1">
        <v>10</v>
      </c>
      <c r="F683" s="1" t="s">
        <v>232</v>
      </c>
      <c r="G683" s="1">
        <v>46</v>
      </c>
    </row>
    <row r="684" spans="4:7" ht="57.6" x14ac:dyDescent="0.3">
      <c r="D684" s="1">
        <v>1995</v>
      </c>
      <c r="E684" s="1">
        <v>10</v>
      </c>
      <c r="F684" s="1" t="s">
        <v>217</v>
      </c>
      <c r="G684" s="1">
        <v>46</v>
      </c>
    </row>
    <row r="685" spans="4:7" ht="28.8" x14ac:dyDescent="0.3">
      <c r="D685" s="1">
        <v>1995</v>
      </c>
      <c r="E685" s="1">
        <v>10</v>
      </c>
      <c r="F685" s="1" t="s">
        <v>228</v>
      </c>
      <c r="G685" s="1">
        <v>45</v>
      </c>
    </row>
    <row r="686" spans="4:7" ht="43.2" x14ac:dyDescent="0.3">
      <c r="D686" s="1">
        <v>1995</v>
      </c>
      <c r="E686" s="1">
        <v>10</v>
      </c>
      <c r="F686" s="1" t="s">
        <v>233</v>
      </c>
      <c r="G686" s="1">
        <v>45</v>
      </c>
    </row>
    <row r="687" spans="4:7" ht="57.6" x14ac:dyDescent="0.3">
      <c r="D687" s="1">
        <v>1995</v>
      </c>
      <c r="E687" s="1">
        <v>10</v>
      </c>
      <c r="F687" s="1" t="s">
        <v>230</v>
      </c>
      <c r="G687" s="1">
        <v>43</v>
      </c>
    </row>
    <row r="688" spans="4:7" ht="28.8" x14ac:dyDescent="0.3">
      <c r="D688" s="1">
        <v>1995</v>
      </c>
      <c r="E688" s="1">
        <v>10</v>
      </c>
      <c r="F688" s="1" t="s">
        <v>254</v>
      </c>
      <c r="G688" s="1">
        <v>40</v>
      </c>
    </row>
    <row r="689" spans="4:7" ht="43.2" x14ac:dyDescent="0.3">
      <c r="D689" s="1">
        <v>1995</v>
      </c>
      <c r="E689" s="1">
        <v>10</v>
      </c>
      <c r="F689" s="1" t="s">
        <v>222</v>
      </c>
      <c r="G689" s="1">
        <v>40</v>
      </c>
    </row>
    <row r="690" spans="4:7" ht="57.6" x14ac:dyDescent="0.3">
      <c r="D690" s="1">
        <v>1995</v>
      </c>
      <c r="E690" s="1">
        <v>10</v>
      </c>
      <c r="F690" s="1" t="s">
        <v>246</v>
      </c>
      <c r="G690" s="1">
        <v>37</v>
      </c>
    </row>
    <row r="691" spans="4:7" ht="28.8" x14ac:dyDescent="0.3">
      <c r="D691" s="1">
        <v>1995</v>
      </c>
      <c r="E691" s="1">
        <v>10</v>
      </c>
      <c r="F691" s="1" t="s">
        <v>277</v>
      </c>
      <c r="G691" s="1">
        <v>37</v>
      </c>
    </row>
    <row r="692" spans="4:7" ht="28.8" x14ac:dyDescent="0.3">
      <c r="D692" s="1">
        <v>1995</v>
      </c>
      <c r="E692" s="1">
        <v>10</v>
      </c>
      <c r="F692" s="1" t="s">
        <v>276</v>
      </c>
      <c r="G692" s="1">
        <v>36</v>
      </c>
    </row>
    <row r="693" spans="4:7" x14ac:dyDescent="0.3">
      <c r="D693" s="1">
        <v>1995</v>
      </c>
      <c r="E693" s="1">
        <v>10</v>
      </c>
      <c r="F693" s="1" t="s">
        <v>247</v>
      </c>
      <c r="G693" s="1">
        <v>36</v>
      </c>
    </row>
    <row r="694" spans="4:7" x14ac:dyDescent="0.3">
      <c r="D694" s="1">
        <v>1995</v>
      </c>
      <c r="E694" s="1">
        <v>10</v>
      </c>
      <c r="F694" s="1" t="s">
        <v>266</v>
      </c>
      <c r="G694" s="1">
        <v>33</v>
      </c>
    </row>
    <row r="695" spans="4:7" ht="28.8" x14ac:dyDescent="0.3">
      <c r="D695" s="1">
        <v>1995</v>
      </c>
      <c r="E695" s="1">
        <v>10</v>
      </c>
      <c r="F695" s="1" t="s">
        <v>223</v>
      </c>
      <c r="G695" s="1">
        <v>30</v>
      </c>
    </row>
    <row r="696" spans="4:7" ht="28.8" x14ac:dyDescent="0.3">
      <c r="D696" s="1">
        <v>1995</v>
      </c>
      <c r="E696" s="1">
        <v>10</v>
      </c>
      <c r="F696" s="1" t="s">
        <v>235</v>
      </c>
      <c r="G696" s="1">
        <v>26</v>
      </c>
    </row>
    <row r="697" spans="4:7" ht="43.2" x14ac:dyDescent="0.3">
      <c r="D697" s="1">
        <v>1995</v>
      </c>
      <c r="E697" s="1">
        <v>10</v>
      </c>
      <c r="F697" s="1" t="s">
        <v>289</v>
      </c>
      <c r="G697" s="1">
        <v>25</v>
      </c>
    </row>
    <row r="698" spans="4:7" ht="28.8" x14ac:dyDescent="0.3">
      <c r="D698" s="1">
        <v>1995</v>
      </c>
      <c r="E698" s="1">
        <v>10</v>
      </c>
      <c r="F698" s="1" t="s">
        <v>252</v>
      </c>
      <c r="G698" s="1">
        <v>23</v>
      </c>
    </row>
    <row r="699" spans="4:7" ht="57.6" x14ac:dyDescent="0.3">
      <c r="D699" s="1">
        <v>1995</v>
      </c>
      <c r="E699" s="1">
        <v>10</v>
      </c>
      <c r="F699" s="1" t="s">
        <v>229</v>
      </c>
      <c r="G699" s="1">
        <v>21</v>
      </c>
    </row>
    <row r="700" spans="4:7" ht="43.2" x14ac:dyDescent="0.3">
      <c r="D700" s="1">
        <v>1995</v>
      </c>
      <c r="E700" s="1">
        <v>10</v>
      </c>
      <c r="F700" s="1" t="s">
        <v>269</v>
      </c>
      <c r="G700" s="1">
        <v>20</v>
      </c>
    </row>
    <row r="701" spans="4:7" ht="28.8" x14ac:dyDescent="0.3">
      <c r="D701" s="1">
        <v>1995</v>
      </c>
      <c r="E701" s="1">
        <v>10</v>
      </c>
      <c r="F701" s="1" t="s">
        <v>216</v>
      </c>
      <c r="G701" s="1">
        <v>15</v>
      </c>
    </row>
    <row r="702" spans="4:7" ht="43.2" x14ac:dyDescent="0.3">
      <c r="D702" s="1">
        <v>1995</v>
      </c>
      <c r="E702" s="1">
        <v>10</v>
      </c>
      <c r="F702" s="1" t="s">
        <v>218</v>
      </c>
      <c r="G702" s="1">
        <v>13</v>
      </c>
    </row>
    <row r="703" spans="4:7" ht="72" x14ac:dyDescent="0.3">
      <c r="D703" s="1">
        <v>1995</v>
      </c>
      <c r="E703" s="1">
        <v>10</v>
      </c>
      <c r="F703" s="1" t="s">
        <v>259</v>
      </c>
      <c r="G703" s="1">
        <v>12</v>
      </c>
    </row>
    <row r="704" spans="4:7" ht="43.2" x14ac:dyDescent="0.3">
      <c r="D704" s="1">
        <v>1995</v>
      </c>
      <c r="E704" s="1">
        <v>10</v>
      </c>
      <c r="F704" s="1" t="s">
        <v>260</v>
      </c>
      <c r="G704" s="1">
        <v>10</v>
      </c>
    </row>
    <row r="705" spans="4:7" ht="28.8" x14ac:dyDescent="0.3">
      <c r="D705" s="1">
        <v>1995</v>
      </c>
      <c r="E705" s="1">
        <v>10</v>
      </c>
      <c r="F705" s="1" t="s">
        <v>241</v>
      </c>
      <c r="G705" s="1">
        <v>10</v>
      </c>
    </row>
    <row r="706" spans="4:7" ht="28.8" x14ac:dyDescent="0.3">
      <c r="D706" s="1">
        <v>1995</v>
      </c>
      <c r="E706" s="1">
        <v>10</v>
      </c>
      <c r="F706" s="1" t="s">
        <v>220</v>
      </c>
      <c r="G706" s="1">
        <v>10</v>
      </c>
    </row>
    <row r="707" spans="4:7" ht="28.8" x14ac:dyDescent="0.3">
      <c r="D707" s="1">
        <v>1995</v>
      </c>
      <c r="E707" s="1">
        <v>10</v>
      </c>
      <c r="F707" s="1" t="s">
        <v>234</v>
      </c>
      <c r="G707" s="1">
        <v>10</v>
      </c>
    </row>
    <row r="708" spans="4:7" x14ac:dyDescent="0.3">
      <c r="D708" s="1">
        <v>1995</v>
      </c>
      <c r="E708" s="1">
        <v>10</v>
      </c>
      <c r="F708" s="1" t="s">
        <v>285</v>
      </c>
      <c r="G708" s="1">
        <v>9</v>
      </c>
    </row>
    <row r="709" spans="4:7" ht="28.8" x14ac:dyDescent="0.3">
      <c r="D709" s="1">
        <v>1995</v>
      </c>
      <c r="E709" s="1">
        <v>10</v>
      </c>
      <c r="F709" s="1" t="s">
        <v>227</v>
      </c>
      <c r="G709" s="1">
        <v>6</v>
      </c>
    </row>
    <row r="710" spans="4:7" ht="28.8" x14ac:dyDescent="0.3">
      <c r="D710" s="1">
        <v>1995</v>
      </c>
      <c r="E710" s="1">
        <v>10</v>
      </c>
      <c r="F710" s="1" t="s">
        <v>236</v>
      </c>
      <c r="G710" s="1">
        <v>4</v>
      </c>
    </row>
    <row r="711" spans="4:7" ht="57.6" x14ac:dyDescent="0.3">
      <c r="D711" s="1">
        <v>1995</v>
      </c>
      <c r="E711" s="1">
        <v>10</v>
      </c>
      <c r="F711" s="1" t="s">
        <v>283</v>
      </c>
      <c r="G711" s="1">
        <v>4</v>
      </c>
    </row>
    <row r="712" spans="4:7" ht="43.2" x14ac:dyDescent="0.3">
      <c r="D712" s="1">
        <v>1995</v>
      </c>
      <c r="E712" s="1">
        <v>10</v>
      </c>
      <c r="F712" s="1" t="s">
        <v>245</v>
      </c>
      <c r="G712" s="1">
        <v>2</v>
      </c>
    </row>
    <row r="713" spans="4:7" ht="28.8" x14ac:dyDescent="0.3">
      <c r="D713" s="1">
        <v>1995</v>
      </c>
      <c r="E713" s="1">
        <v>11</v>
      </c>
      <c r="F713" s="1" t="s">
        <v>234</v>
      </c>
      <c r="G713" s="1">
        <v>123</v>
      </c>
    </row>
    <row r="714" spans="4:7" ht="28.8" x14ac:dyDescent="0.3">
      <c r="D714" s="1">
        <v>1995</v>
      </c>
      <c r="E714" s="1">
        <v>11</v>
      </c>
      <c r="F714" s="1" t="s">
        <v>235</v>
      </c>
      <c r="G714" s="1">
        <v>118</v>
      </c>
    </row>
    <row r="715" spans="4:7" ht="28.8" x14ac:dyDescent="0.3">
      <c r="D715" s="1">
        <v>1995</v>
      </c>
      <c r="E715" s="1">
        <v>11</v>
      </c>
      <c r="F715" s="1" t="s">
        <v>254</v>
      </c>
      <c r="G715" s="1">
        <v>116</v>
      </c>
    </row>
    <row r="716" spans="4:7" ht="28.8" x14ac:dyDescent="0.3">
      <c r="D716" s="1">
        <v>1995</v>
      </c>
      <c r="E716" s="1">
        <v>11</v>
      </c>
      <c r="F716" s="1" t="s">
        <v>276</v>
      </c>
      <c r="G716" s="1">
        <v>115</v>
      </c>
    </row>
    <row r="717" spans="4:7" ht="43.2" x14ac:dyDescent="0.3">
      <c r="D717" s="1">
        <v>1995</v>
      </c>
      <c r="E717" s="1">
        <v>11</v>
      </c>
      <c r="F717" s="1" t="s">
        <v>218</v>
      </c>
      <c r="G717" s="1">
        <v>110</v>
      </c>
    </row>
    <row r="718" spans="4:7" ht="28.8" x14ac:dyDescent="0.3">
      <c r="D718" s="1">
        <v>1995</v>
      </c>
      <c r="E718" s="1">
        <v>11</v>
      </c>
      <c r="F718" s="1" t="s">
        <v>279</v>
      </c>
      <c r="G718" s="1">
        <v>110</v>
      </c>
    </row>
    <row r="719" spans="4:7" ht="72" x14ac:dyDescent="0.3">
      <c r="D719" s="1">
        <v>1995</v>
      </c>
      <c r="E719" s="1">
        <v>11</v>
      </c>
      <c r="F719" s="1" t="s">
        <v>231</v>
      </c>
      <c r="G719" s="1">
        <v>90</v>
      </c>
    </row>
    <row r="720" spans="4:7" ht="43.2" x14ac:dyDescent="0.3">
      <c r="D720" s="1">
        <v>1995</v>
      </c>
      <c r="E720" s="1">
        <v>11</v>
      </c>
      <c r="F720" s="1" t="s">
        <v>260</v>
      </c>
      <c r="G720" s="1">
        <v>85</v>
      </c>
    </row>
    <row r="721" spans="4:7" ht="28.8" x14ac:dyDescent="0.3">
      <c r="D721" s="1">
        <v>1995</v>
      </c>
      <c r="E721" s="1">
        <v>11</v>
      </c>
      <c r="F721" s="1" t="s">
        <v>255</v>
      </c>
      <c r="G721" s="1">
        <v>74</v>
      </c>
    </row>
    <row r="722" spans="4:7" x14ac:dyDescent="0.3">
      <c r="D722" s="1">
        <v>1995</v>
      </c>
      <c r="E722" s="1">
        <v>11</v>
      </c>
      <c r="F722" s="1" t="s">
        <v>232</v>
      </c>
      <c r="G722" s="1">
        <v>73</v>
      </c>
    </row>
    <row r="723" spans="4:7" x14ac:dyDescent="0.3">
      <c r="D723" s="1">
        <v>1995</v>
      </c>
      <c r="E723" s="1">
        <v>11</v>
      </c>
      <c r="F723" s="1" t="s">
        <v>249</v>
      </c>
      <c r="G723" s="1">
        <v>70</v>
      </c>
    </row>
    <row r="724" spans="4:7" ht="28.8" x14ac:dyDescent="0.3">
      <c r="D724" s="1">
        <v>1995</v>
      </c>
      <c r="E724" s="1">
        <v>11</v>
      </c>
      <c r="F724" s="1" t="s">
        <v>243</v>
      </c>
      <c r="G724" s="1">
        <v>70</v>
      </c>
    </row>
    <row r="725" spans="4:7" ht="43.2" x14ac:dyDescent="0.3">
      <c r="D725" s="1">
        <v>1995</v>
      </c>
      <c r="E725" s="1">
        <v>11</v>
      </c>
      <c r="F725" s="1" t="s">
        <v>221</v>
      </c>
      <c r="G725" s="1">
        <v>68</v>
      </c>
    </row>
    <row r="726" spans="4:7" ht="28.8" x14ac:dyDescent="0.3">
      <c r="D726" s="1">
        <v>1995</v>
      </c>
      <c r="E726" s="1">
        <v>11</v>
      </c>
      <c r="F726" s="1" t="s">
        <v>220</v>
      </c>
      <c r="G726" s="1">
        <v>68</v>
      </c>
    </row>
    <row r="727" spans="4:7" ht="28.8" x14ac:dyDescent="0.3">
      <c r="D727" s="1">
        <v>1995</v>
      </c>
      <c r="E727" s="1">
        <v>11</v>
      </c>
      <c r="F727" s="1" t="s">
        <v>280</v>
      </c>
      <c r="G727" s="1">
        <v>67</v>
      </c>
    </row>
    <row r="728" spans="4:7" ht="57.6" x14ac:dyDescent="0.3">
      <c r="D728" s="1">
        <v>1995</v>
      </c>
      <c r="E728" s="1">
        <v>11</v>
      </c>
      <c r="F728" s="1" t="s">
        <v>246</v>
      </c>
      <c r="G728" s="1">
        <v>65</v>
      </c>
    </row>
    <row r="729" spans="4:7" ht="28.8" x14ac:dyDescent="0.3">
      <c r="D729" s="1">
        <v>1995</v>
      </c>
      <c r="E729" s="1">
        <v>11</v>
      </c>
      <c r="F729" s="1" t="s">
        <v>227</v>
      </c>
      <c r="G729" s="1">
        <v>64</v>
      </c>
    </row>
    <row r="730" spans="4:7" ht="43.2" x14ac:dyDescent="0.3">
      <c r="D730" s="1">
        <v>1995</v>
      </c>
      <c r="E730" s="1">
        <v>11</v>
      </c>
      <c r="F730" s="1" t="s">
        <v>225</v>
      </c>
      <c r="G730" s="1">
        <v>60</v>
      </c>
    </row>
    <row r="731" spans="4:7" ht="28.8" x14ac:dyDescent="0.3">
      <c r="D731" s="1">
        <v>1995</v>
      </c>
      <c r="E731" s="1">
        <v>11</v>
      </c>
      <c r="F731" s="1" t="s">
        <v>228</v>
      </c>
      <c r="G731" s="1">
        <v>55</v>
      </c>
    </row>
    <row r="732" spans="4:7" ht="43.2" x14ac:dyDescent="0.3">
      <c r="D732" s="1">
        <v>1995</v>
      </c>
      <c r="E732" s="1">
        <v>11</v>
      </c>
      <c r="F732" s="1" t="s">
        <v>278</v>
      </c>
      <c r="G732" s="1">
        <v>55</v>
      </c>
    </row>
    <row r="733" spans="4:7" ht="28.8" x14ac:dyDescent="0.3">
      <c r="D733" s="1">
        <v>1995</v>
      </c>
      <c r="E733" s="1">
        <v>11</v>
      </c>
      <c r="F733" s="1" t="s">
        <v>223</v>
      </c>
      <c r="G733" s="1">
        <v>55</v>
      </c>
    </row>
    <row r="734" spans="4:7" ht="57.6" x14ac:dyDescent="0.3">
      <c r="D734" s="1">
        <v>1995</v>
      </c>
      <c r="E734" s="1">
        <v>11</v>
      </c>
      <c r="F734" s="1" t="s">
        <v>217</v>
      </c>
      <c r="G734" s="1">
        <v>52</v>
      </c>
    </row>
    <row r="735" spans="4:7" ht="28.8" x14ac:dyDescent="0.3">
      <c r="D735" s="1">
        <v>1995</v>
      </c>
      <c r="E735" s="1">
        <v>11</v>
      </c>
      <c r="F735" s="1" t="s">
        <v>281</v>
      </c>
      <c r="G735" s="1">
        <v>50</v>
      </c>
    </row>
    <row r="736" spans="4:7" ht="57.6" x14ac:dyDescent="0.3">
      <c r="D736" s="1">
        <v>1995</v>
      </c>
      <c r="E736" s="1">
        <v>11</v>
      </c>
      <c r="F736" s="1" t="s">
        <v>251</v>
      </c>
      <c r="G736" s="1">
        <v>50</v>
      </c>
    </row>
    <row r="737" spans="4:7" ht="28.8" x14ac:dyDescent="0.3">
      <c r="D737" s="1">
        <v>1995</v>
      </c>
      <c r="E737" s="1">
        <v>11</v>
      </c>
      <c r="F737" s="1" t="s">
        <v>241</v>
      </c>
      <c r="G737" s="1">
        <v>50</v>
      </c>
    </row>
    <row r="738" spans="4:7" x14ac:dyDescent="0.3">
      <c r="D738" s="1">
        <v>1995</v>
      </c>
      <c r="E738" s="1">
        <v>11</v>
      </c>
      <c r="F738" s="1" t="s">
        <v>247</v>
      </c>
      <c r="G738" s="1">
        <v>45</v>
      </c>
    </row>
    <row r="739" spans="4:7" ht="43.2" x14ac:dyDescent="0.3">
      <c r="D739" s="1">
        <v>1995</v>
      </c>
      <c r="E739" s="1">
        <v>11</v>
      </c>
      <c r="F739" s="1" t="s">
        <v>233</v>
      </c>
      <c r="G739" s="1">
        <v>45</v>
      </c>
    </row>
    <row r="740" spans="4:7" x14ac:dyDescent="0.3">
      <c r="D740" s="1">
        <v>1995</v>
      </c>
      <c r="E740" s="1">
        <v>11</v>
      </c>
      <c r="F740" s="1" t="s">
        <v>273</v>
      </c>
      <c r="G740" s="1">
        <v>42</v>
      </c>
    </row>
    <row r="741" spans="4:7" ht="57.6" x14ac:dyDescent="0.3">
      <c r="D741" s="1">
        <v>1995</v>
      </c>
      <c r="E741" s="1">
        <v>11</v>
      </c>
      <c r="F741" s="1" t="s">
        <v>271</v>
      </c>
      <c r="G741" s="1">
        <v>42</v>
      </c>
    </row>
    <row r="742" spans="4:7" ht="72" x14ac:dyDescent="0.3">
      <c r="D742" s="1">
        <v>1995</v>
      </c>
      <c r="E742" s="1">
        <v>11</v>
      </c>
      <c r="F742" s="1" t="s">
        <v>263</v>
      </c>
      <c r="G742" s="1">
        <v>42</v>
      </c>
    </row>
    <row r="743" spans="4:7" ht="57.6" x14ac:dyDescent="0.3">
      <c r="D743" s="1">
        <v>1995</v>
      </c>
      <c r="E743" s="1">
        <v>11</v>
      </c>
      <c r="F743" s="1" t="s">
        <v>265</v>
      </c>
      <c r="G743" s="1">
        <v>42</v>
      </c>
    </row>
    <row r="744" spans="4:7" ht="57.6" x14ac:dyDescent="0.3">
      <c r="D744" s="1">
        <v>1995</v>
      </c>
      <c r="E744" s="1">
        <v>11</v>
      </c>
      <c r="F744" s="1" t="s">
        <v>253</v>
      </c>
      <c r="G744" s="1">
        <v>40</v>
      </c>
    </row>
    <row r="745" spans="4:7" x14ac:dyDescent="0.3">
      <c r="D745" s="1">
        <v>1995</v>
      </c>
      <c r="E745" s="1">
        <v>11</v>
      </c>
      <c r="F745" s="1" t="s">
        <v>238</v>
      </c>
      <c r="G745" s="1">
        <v>40</v>
      </c>
    </row>
    <row r="746" spans="4:7" ht="28.8" x14ac:dyDescent="0.3">
      <c r="D746" s="1">
        <v>1995</v>
      </c>
      <c r="E746" s="1">
        <v>11</v>
      </c>
      <c r="F746" s="1" t="s">
        <v>267</v>
      </c>
      <c r="G746" s="1">
        <v>40</v>
      </c>
    </row>
    <row r="747" spans="4:7" x14ac:dyDescent="0.3">
      <c r="D747" s="1">
        <v>1995</v>
      </c>
      <c r="E747" s="1">
        <v>11</v>
      </c>
      <c r="F747" s="1" t="s">
        <v>239</v>
      </c>
      <c r="G747" s="1">
        <v>38</v>
      </c>
    </row>
    <row r="748" spans="4:7" ht="43.2" x14ac:dyDescent="0.3">
      <c r="D748" s="1">
        <v>1995</v>
      </c>
      <c r="E748" s="1">
        <v>11</v>
      </c>
      <c r="F748" s="1" t="s">
        <v>257</v>
      </c>
      <c r="G748" s="1">
        <v>37</v>
      </c>
    </row>
    <row r="749" spans="4:7" ht="43.2" x14ac:dyDescent="0.3">
      <c r="D749" s="1">
        <v>1995</v>
      </c>
      <c r="E749" s="1">
        <v>11</v>
      </c>
      <c r="F749" s="1" t="s">
        <v>222</v>
      </c>
      <c r="G749" s="1">
        <v>35</v>
      </c>
    </row>
    <row r="750" spans="4:7" ht="72" x14ac:dyDescent="0.3">
      <c r="D750" s="1">
        <v>1995</v>
      </c>
      <c r="E750" s="1">
        <v>11</v>
      </c>
      <c r="F750" s="1" t="s">
        <v>256</v>
      </c>
      <c r="G750" s="1">
        <v>30</v>
      </c>
    </row>
    <row r="751" spans="4:7" ht="28.8" x14ac:dyDescent="0.3">
      <c r="D751" s="1">
        <v>1995</v>
      </c>
      <c r="E751" s="1">
        <v>11</v>
      </c>
      <c r="F751" s="1" t="s">
        <v>248</v>
      </c>
      <c r="G751" s="1">
        <v>30</v>
      </c>
    </row>
    <row r="752" spans="4:7" ht="28.8" x14ac:dyDescent="0.3">
      <c r="D752" s="1">
        <v>1995</v>
      </c>
      <c r="E752" s="1">
        <v>11</v>
      </c>
      <c r="F752" s="1" t="s">
        <v>270</v>
      </c>
      <c r="G752" s="1">
        <v>26</v>
      </c>
    </row>
    <row r="753" spans="4:7" ht="43.2" x14ac:dyDescent="0.3">
      <c r="D753" s="1">
        <v>1995</v>
      </c>
      <c r="E753" s="1">
        <v>11</v>
      </c>
      <c r="F753" s="1" t="s">
        <v>272</v>
      </c>
      <c r="G753" s="1">
        <v>24</v>
      </c>
    </row>
    <row r="754" spans="4:7" ht="28.8" x14ac:dyDescent="0.3">
      <c r="D754" s="1">
        <v>1995</v>
      </c>
      <c r="E754" s="1">
        <v>11</v>
      </c>
      <c r="F754" s="1" t="s">
        <v>292</v>
      </c>
      <c r="G754" s="1">
        <v>24</v>
      </c>
    </row>
    <row r="755" spans="4:7" ht="28.8" x14ac:dyDescent="0.3">
      <c r="D755" s="1">
        <v>1995</v>
      </c>
      <c r="E755" s="1">
        <v>11</v>
      </c>
      <c r="F755" s="1" t="s">
        <v>236</v>
      </c>
      <c r="G755" s="1">
        <v>21</v>
      </c>
    </row>
    <row r="756" spans="4:7" ht="28.8" x14ac:dyDescent="0.3">
      <c r="D756" s="1">
        <v>1995</v>
      </c>
      <c r="E756" s="1">
        <v>11</v>
      </c>
      <c r="F756" s="1" t="s">
        <v>240</v>
      </c>
      <c r="G756" s="1">
        <v>20</v>
      </c>
    </row>
    <row r="757" spans="4:7" ht="28.8" x14ac:dyDescent="0.3">
      <c r="D757" s="1">
        <v>1995</v>
      </c>
      <c r="E757" s="1">
        <v>11</v>
      </c>
      <c r="F757" s="1" t="s">
        <v>250</v>
      </c>
      <c r="G757" s="1">
        <v>15</v>
      </c>
    </row>
    <row r="758" spans="4:7" ht="28.8" x14ac:dyDescent="0.3">
      <c r="D758" s="1">
        <v>1995</v>
      </c>
      <c r="E758" s="1">
        <v>11</v>
      </c>
      <c r="F758" s="1" t="s">
        <v>242</v>
      </c>
      <c r="G758" s="1">
        <v>15</v>
      </c>
    </row>
    <row r="759" spans="4:7" ht="28.8" x14ac:dyDescent="0.3">
      <c r="D759" s="1">
        <v>1995</v>
      </c>
      <c r="E759" s="1">
        <v>11</v>
      </c>
      <c r="F759" s="1" t="s">
        <v>224</v>
      </c>
      <c r="G759" s="1">
        <v>12</v>
      </c>
    </row>
    <row r="760" spans="4:7" ht="43.2" x14ac:dyDescent="0.3">
      <c r="D760" s="1">
        <v>1995</v>
      </c>
      <c r="E760" s="1">
        <v>11</v>
      </c>
      <c r="F760" s="1" t="s">
        <v>219</v>
      </c>
      <c r="G760" s="1">
        <v>10</v>
      </c>
    </row>
    <row r="761" spans="4:7" ht="43.2" x14ac:dyDescent="0.3">
      <c r="D761" s="1">
        <v>1995</v>
      </c>
      <c r="E761" s="1">
        <v>11</v>
      </c>
      <c r="F761" s="1" t="s">
        <v>264</v>
      </c>
      <c r="G761" s="1">
        <v>6</v>
      </c>
    </row>
    <row r="762" spans="4:7" ht="28.8" x14ac:dyDescent="0.3">
      <c r="D762" s="1">
        <v>1995</v>
      </c>
      <c r="E762" s="1">
        <v>11</v>
      </c>
      <c r="F762" s="1" t="s">
        <v>286</v>
      </c>
      <c r="G762" s="1">
        <v>6</v>
      </c>
    </row>
    <row r="763" spans="4:7" ht="72" x14ac:dyDescent="0.3">
      <c r="D763" s="1">
        <v>1995</v>
      </c>
      <c r="E763" s="1">
        <v>11</v>
      </c>
      <c r="F763" s="1" t="s">
        <v>259</v>
      </c>
      <c r="G763" s="1">
        <v>6</v>
      </c>
    </row>
    <row r="764" spans="4:7" ht="43.2" x14ac:dyDescent="0.3">
      <c r="D764" s="1">
        <v>1995</v>
      </c>
      <c r="E764" s="1">
        <v>11</v>
      </c>
      <c r="F764" s="1" t="s">
        <v>262</v>
      </c>
      <c r="G764" s="1">
        <v>4</v>
      </c>
    </row>
    <row r="765" spans="4:7" ht="57.6" x14ac:dyDescent="0.3">
      <c r="D765" s="1">
        <v>1995</v>
      </c>
      <c r="E765" s="1">
        <v>11</v>
      </c>
      <c r="F765" s="1" t="s">
        <v>274</v>
      </c>
      <c r="G765" s="1">
        <v>4</v>
      </c>
    </row>
    <row r="766" spans="4:7" ht="43.2" x14ac:dyDescent="0.3">
      <c r="D766" s="1">
        <v>1995</v>
      </c>
      <c r="E766" s="1">
        <v>11</v>
      </c>
      <c r="F766" s="1" t="s">
        <v>245</v>
      </c>
      <c r="G766" s="1">
        <v>3</v>
      </c>
    </row>
    <row r="767" spans="4:7" ht="28.8" x14ac:dyDescent="0.3">
      <c r="D767" s="1">
        <v>1995</v>
      </c>
      <c r="E767" s="1">
        <v>12</v>
      </c>
      <c r="F767" s="1" t="s">
        <v>228</v>
      </c>
      <c r="G767" s="1">
        <v>118</v>
      </c>
    </row>
    <row r="768" spans="4:7" x14ac:dyDescent="0.3">
      <c r="D768" s="1">
        <v>1995</v>
      </c>
      <c r="E768" s="1">
        <v>12</v>
      </c>
      <c r="F768" s="1" t="s">
        <v>285</v>
      </c>
      <c r="G768" s="1">
        <v>107</v>
      </c>
    </row>
    <row r="769" spans="4:7" ht="43.2" x14ac:dyDescent="0.3">
      <c r="D769" s="1">
        <v>1995</v>
      </c>
      <c r="E769" s="1">
        <v>12</v>
      </c>
      <c r="F769" s="1" t="s">
        <v>237</v>
      </c>
      <c r="G769" s="1">
        <v>99</v>
      </c>
    </row>
    <row r="770" spans="4:7" ht="43.2" x14ac:dyDescent="0.3">
      <c r="D770" s="1">
        <v>1995</v>
      </c>
      <c r="E770" s="1">
        <v>12</v>
      </c>
      <c r="F770" s="1" t="s">
        <v>221</v>
      </c>
      <c r="G770" s="1">
        <v>97</v>
      </c>
    </row>
    <row r="771" spans="4:7" ht="43.2" x14ac:dyDescent="0.3">
      <c r="D771" s="1">
        <v>1995</v>
      </c>
      <c r="E771" s="1">
        <v>12</v>
      </c>
      <c r="F771" s="1" t="s">
        <v>218</v>
      </c>
      <c r="G771" s="1">
        <v>93</v>
      </c>
    </row>
    <row r="772" spans="4:7" ht="28.8" x14ac:dyDescent="0.3">
      <c r="D772" s="1">
        <v>1995</v>
      </c>
      <c r="E772" s="1">
        <v>12</v>
      </c>
      <c r="F772" s="1" t="s">
        <v>279</v>
      </c>
      <c r="G772" s="1">
        <v>84</v>
      </c>
    </row>
    <row r="773" spans="4:7" ht="43.2" x14ac:dyDescent="0.3">
      <c r="D773" s="1">
        <v>1995</v>
      </c>
      <c r="E773" s="1">
        <v>12</v>
      </c>
      <c r="F773" s="1" t="s">
        <v>257</v>
      </c>
      <c r="G773" s="1">
        <v>70</v>
      </c>
    </row>
    <row r="774" spans="4:7" ht="43.2" x14ac:dyDescent="0.3">
      <c r="D774" s="1">
        <v>1995</v>
      </c>
      <c r="E774" s="1">
        <v>12</v>
      </c>
      <c r="F774" s="1" t="s">
        <v>219</v>
      </c>
      <c r="G774" s="1">
        <v>65</v>
      </c>
    </row>
    <row r="775" spans="4:7" ht="43.2" x14ac:dyDescent="0.3">
      <c r="D775" s="1">
        <v>1995</v>
      </c>
      <c r="E775" s="1">
        <v>12</v>
      </c>
      <c r="F775" s="1" t="s">
        <v>245</v>
      </c>
      <c r="G775" s="1">
        <v>60</v>
      </c>
    </row>
    <row r="776" spans="4:7" ht="28.8" x14ac:dyDescent="0.3">
      <c r="D776" s="1">
        <v>1995</v>
      </c>
      <c r="E776" s="1">
        <v>12</v>
      </c>
      <c r="F776" s="1" t="s">
        <v>284</v>
      </c>
      <c r="G776" s="1">
        <v>60</v>
      </c>
    </row>
    <row r="777" spans="4:7" ht="72" x14ac:dyDescent="0.3">
      <c r="D777" s="1">
        <v>1995</v>
      </c>
      <c r="E777" s="1">
        <v>12</v>
      </c>
      <c r="F777" s="1" t="s">
        <v>263</v>
      </c>
      <c r="G777" s="1">
        <v>59</v>
      </c>
    </row>
    <row r="778" spans="4:7" x14ac:dyDescent="0.3">
      <c r="D778" s="1">
        <v>1995</v>
      </c>
      <c r="E778" s="1">
        <v>12</v>
      </c>
      <c r="F778" s="1" t="s">
        <v>249</v>
      </c>
      <c r="G778" s="1">
        <v>58</v>
      </c>
    </row>
    <row r="779" spans="4:7" ht="57.6" x14ac:dyDescent="0.3">
      <c r="D779" s="1">
        <v>1995</v>
      </c>
      <c r="E779" s="1">
        <v>12</v>
      </c>
      <c r="F779" s="1" t="s">
        <v>246</v>
      </c>
      <c r="G779" s="1">
        <v>50</v>
      </c>
    </row>
    <row r="780" spans="4:7" ht="28.8" x14ac:dyDescent="0.3">
      <c r="D780" s="1">
        <v>1995</v>
      </c>
      <c r="E780" s="1">
        <v>12</v>
      </c>
      <c r="F780" s="1" t="s">
        <v>241</v>
      </c>
      <c r="G780" s="1">
        <v>50</v>
      </c>
    </row>
    <row r="781" spans="4:7" ht="28.8" x14ac:dyDescent="0.3">
      <c r="D781" s="1">
        <v>1995</v>
      </c>
      <c r="E781" s="1">
        <v>12</v>
      </c>
      <c r="F781" s="1" t="s">
        <v>224</v>
      </c>
      <c r="G781" s="1">
        <v>45</v>
      </c>
    </row>
    <row r="782" spans="4:7" ht="28.8" x14ac:dyDescent="0.3">
      <c r="D782" s="1">
        <v>1995</v>
      </c>
      <c r="E782" s="1">
        <v>12</v>
      </c>
      <c r="F782" s="1" t="s">
        <v>277</v>
      </c>
      <c r="G782" s="1">
        <v>44</v>
      </c>
    </row>
    <row r="783" spans="4:7" ht="43.2" x14ac:dyDescent="0.3">
      <c r="D783" s="1">
        <v>1995</v>
      </c>
      <c r="E783" s="1">
        <v>12</v>
      </c>
      <c r="F783" s="1" t="s">
        <v>226</v>
      </c>
      <c r="G783" s="1">
        <v>42</v>
      </c>
    </row>
    <row r="784" spans="4:7" ht="28.8" x14ac:dyDescent="0.3">
      <c r="D784" s="1">
        <v>1995</v>
      </c>
      <c r="E784" s="1">
        <v>12</v>
      </c>
      <c r="F784" s="1" t="s">
        <v>254</v>
      </c>
      <c r="G784" s="1">
        <v>40</v>
      </c>
    </row>
    <row r="785" spans="4:7" ht="28.8" x14ac:dyDescent="0.3">
      <c r="D785" s="1">
        <v>1995</v>
      </c>
      <c r="E785" s="1">
        <v>12</v>
      </c>
      <c r="F785" s="1" t="s">
        <v>220</v>
      </c>
      <c r="G785" s="1">
        <v>39</v>
      </c>
    </row>
    <row r="786" spans="4:7" ht="28.8" x14ac:dyDescent="0.3">
      <c r="D786" s="1">
        <v>1995</v>
      </c>
      <c r="E786" s="1">
        <v>12</v>
      </c>
      <c r="F786" s="1" t="s">
        <v>248</v>
      </c>
      <c r="G786" s="1">
        <v>35</v>
      </c>
    </row>
    <row r="787" spans="4:7" ht="43.2" x14ac:dyDescent="0.3">
      <c r="D787" s="1">
        <v>1995</v>
      </c>
      <c r="E787" s="1">
        <v>12</v>
      </c>
      <c r="F787" s="1" t="s">
        <v>233</v>
      </c>
      <c r="G787" s="1">
        <v>32</v>
      </c>
    </row>
    <row r="788" spans="4:7" ht="43.2" x14ac:dyDescent="0.3">
      <c r="D788" s="1">
        <v>1995</v>
      </c>
      <c r="E788" s="1">
        <v>12</v>
      </c>
      <c r="F788" s="1" t="s">
        <v>222</v>
      </c>
      <c r="G788" s="1">
        <v>30</v>
      </c>
    </row>
    <row r="789" spans="4:7" ht="72" x14ac:dyDescent="0.3">
      <c r="D789" s="1">
        <v>1995</v>
      </c>
      <c r="E789" s="1">
        <v>12</v>
      </c>
      <c r="F789" s="1" t="s">
        <v>268</v>
      </c>
      <c r="G789" s="1">
        <v>30</v>
      </c>
    </row>
    <row r="790" spans="4:7" ht="28.8" x14ac:dyDescent="0.3">
      <c r="D790" s="1">
        <v>1995</v>
      </c>
      <c r="E790" s="1">
        <v>12</v>
      </c>
      <c r="F790" s="1" t="s">
        <v>280</v>
      </c>
      <c r="G790" s="1">
        <v>30</v>
      </c>
    </row>
    <row r="791" spans="4:7" ht="28.8" x14ac:dyDescent="0.3">
      <c r="D791" s="1">
        <v>1995</v>
      </c>
      <c r="E791" s="1">
        <v>12</v>
      </c>
      <c r="F791" s="1" t="s">
        <v>270</v>
      </c>
      <c r="G791" s="1">
        <v>30</v>
      </c>
    </row>
    <row r="792" spans="4:7" x14ac:dyDescent="0.3">
      <c r="D792" s="1">
        <v>1995</v>
      </c>
      <c r="E792" s="1">
        <v>12</v>
      </c>
      <c r="F792" s="1" t="s">
        <v>273</v>
      </c>
      <c r="G792" s="1">
        <v>28</v>
      </c>
    </row>
    <row r="793" spans="4:7" ht="57.6" x14ac:dyDescent="0.3">
      <c r="D793" s="1">
        <v>1995</v>
      </c>
      <c r="E793" s="1">
        <v>12</v>
      </c>
      <c r="F793" s="1" t="s">
        <v>261</v>
      </c>
      <c r="G793" s="1">
        <v>28</v>
      </c>
    </row>
    <row r="794" spans="4:7" x14ac:dyDescent="0.3">
      <c r="D794" s="1">
        <v>1995</v>
      </c>
      <c r="E794" s="1">
        <v>12</v>
      </c>
      <c r="F794" s="1" t="s">
        <v>247</v>
      </c>
      <c r="G794" s="1">
        <v>26</v>
      </c>
    </row>
    <row r="795" spans="4:7" ht="72" x14ac:dyDescent="0.3">
      <c r="D795" s="1">
        <v>1995</v>
      </c>
      <c r="E795" s="1">
        <v>12</v>
      </c>
      <c r="F795" s="1" t="s">
        <v>259</v>
      </c>
      <c r="G795" s="1">
        <v>25</v>
      </c>
    </row>
    <row r="796" spans="4:7" ht="43.2" x14ac:dyDescent="0.3">
      <c r="D796" s="1">
        <v>1995</v>
      </c>
      <c r="E796" s="1">
        <v>12</v>
      </c>
      <c r="F796" s="1" t="s">
        <v>225</v>
      </c>
      <c r="G796" s="1">
        <v>25</v>
      </c>
    </row>
    <row r="797" spans="4:7" ht="57.6" x14ac:dyDescent="0.3">
      <c r="D797" s="1">
        <v>1995</v>
      </c>
      <c r="E797" s="1">
        <v>12</v>
      </c>
      <c r="F797" s="1" t="s">
        <v>230</v>
      </c>
      <c r="G797" s="1">
        <v>24</v>
      </c>
    </row>
    <row r="798" spans="4:7" x14ac:dyDescent="0.3">
      <c r="D798" s="1">
        <v>1995</v>
      </c>
      <c r="E798" s="1">
        <v>12</v>
      </c>
      <c r="F798" s="1" t="s">
        <v>266</v>
      </c>
      <c r="G798" s="1">
        <v>21</v>
      </c>
    </row>
    <row r="799" spans="4:7" ht="28.8" x14ac:dyDescent="0.3">
      <c r="D799" s="1">
        <v>1995</v>
      </c>
      <c r="E799" s="1">
        <v>12</v>
      </c>
      <c r="F799" s="1" t="s">
        <v>223</v>
      </c>
      <c r="G799" s="1">
        <v>20</v>
      </c>
    </row>
    <row r="800" spans="4:7" ht="28.8" x14ac:dyDescent="0.3">
      <c r="D800" s="1">
        <v>1995</v>
      </c>
      <c r="E800" s="1">
        <v>12</v>
      </c>
      <c r="F800" s="1" t="s">
        <v>242</v>
      </c>
      <c r="G800" s="1">
        <v>20</v>
      </c>
    </row>
    <row r="801" spans="4:7" ht="57.6" x14ac:dyDescent="0.3">
      <c r="D801" s="1">
        <v>1995</v>
      </c>
      <c r="E801" s="1">
        <v>12</v>
      </c>
      <c r="F801" s="1" t="s">
        <v>265</v>
      </c>
      <c r="G801" s="1">
        <v>20</v>
      </c>
    </row>
    <row r="802" spans="4:7" ht="28.8" x14ac:dyDescent="0.3">
      <c r="D802" s="1">
        <v>1995</v>
      </c>
      <c r="E802" s="1">
        <v>12</v>
      </c>
      <c r="F802" s="1" t="s">
        <v>286</v>
      </c>
      <c r="G802" s="1">
        <v>20</v>
      </c>
    </row>
    <row r="803" spans="4:7" ht="28.8" x14ac:dyDescent="0.3">
      <c r="D803" s="1">
        <v>1995</v>
      </c>
      <c r="E803" s="1">
        <v>12</v>
      </c>
      <c r="F803" s="1" t="s">
        <v>236</v>
      </c>
      <c r="G803" s="1">
        <v>18</v>
      </c>
    </row>
    <row r="804" spans="4:7" x14ac:dyDescent="0.3">
      <c r="D804" s="1">
        <v>1995</v>
      </c>
      <c r="E804" s="1">
        <v>12</v>
      </c>
      <c r="F804" s="1" t="s">
        <v>238</v>
      </c>
      <c r="G804" s="1">
        <v>18</v>
      </c>
    </row>
    <row r="805" spans="4:7" ht="28.8" x14ac:dyDescent="0.3">
      <c r="D805" s="1">
        <v>1995</v>
      </c>
      <c r="E805" s="1">
        <v>12</v>
      </c>
      <c r="F805" s="1" t="s">
        <v>255</v>
      </c>
      <c r="G805" s="1">
        <v>16</v>
      </c>
    </row>
    <row r="806" spans="4:7" x14ac:dyDescent="0.3">
      <c r="D806" s="1">
        <v>1995</v>
      </c>
      <c r="E806" s="1">
        <v>12</v>
      </c>
      <c r="F806" s="1" t="s">
        <v>239</v>
      </c>
      <c r="G806" s="1">
        <v>15</v>
      </c>
    </row>
    <row r="807" spans="4:7" ht="28.8" x14ac:dyDescent="0.3">
      <c r="D807" s="1">
        <v>1995</v>
      </c>
      <c r="E807" s="1">
        <v>12</v>
      </c>
      <c r="F807" s="1" t="s">
        <v>281</v>
      </c>
      <c r="G807" s="1">
        <v>15</v>
      </c>
    </row>
    <row r="808" spans="4:7" ht="28.8" x14ac:dyDescent="0.3">
      <c r="D808" s="1">
        <v>1995</v>
      </c>
      <c r="E808" s="1">
        <v>12</v>
      </c>
      <c r="F808" s="1" t="s">
        <v>267</v>
      </c>
      <c r="G808" s="1">
        <v>14</v>
      </c>
    </row>
    <row r="809" spans="4:7" ht="28.8" x14ac:dyDescent="0.3">
      <c r="D809" s="1">
        <v>1995</v>
      </c>
      <c r="E809" s="1">
        <v>12</v>
      </c>
      <c r="F809" s="1" t="s">
        <v>243</v>
      </c>
      <c r="G809" s="1">
        <v>11</v>
      </c>
    </row>
    <row r="810" spans="4:7" x14ac:dyDescent="0.3">
      <c r="D810" s="1">
        <v>1995</v>
      </c>
      <c r="E810" s="1">
        <v>12</v>
      </c>
      <c r="F810" s="1" t="s">
        <v>275</v>
      </c>
      <c r="G810" s="1">
        <v>10</v>
      </c>
    </row>
    <row r="811" spans="4:7" ht="43.2" x14ac:dyDescent="0.3">
      <c r="D811" s="1">
        <v>1995</v>
      </c>
      <c r="E811" s="1">
        <v>12</v>
      </c>
      <c r="F811" s="1" t="s">
        <v>262</v>
      </c>
      <c r="G811" s="1">
        <v>10</v>
      </c>
    </row>
    <row r="812" spans="4:7" ht="28.8" x14ac:dyDescent="0.3">
      <c r="D812" s="1">
        <v>1995</v>
      </c>
      <c r="E812" s="1">
        <v>12</v>
      </c>
      <c r="F812" s="1" t="s">
        <v>240</v>
      </c>
      <c r="G812" s="1">
        <v>9</v>
      </c>
    </row>
    <row r="813" spans="4:7" ht="43.2" x14ac:dyDescent="0.3">
      <c r="D813" s="1">
        <v>1995</v>
      </c>
      <c r="E813" s="1">
        <v>12</v>
      </c>
      <c r="F813" s="1" t="s">
        <v>260</v>
      </c>
      <c r="G813" s="1">
        <v>6</v>
      </c>
    </row>
    <row r="814" spans="4:7" ht="28.8" x14ac:dyDescent="0.3">
      <c r="D814" s="1">
        <v>1995</v>
      </c>
      <c r="E814" s="1">
        <v>12</v>
      </c>
      <c r="F814" s="1" t="s">
        <v>250</v>
      </c>
      <c r="G814" s="1">
        <v>5</v>
      </c>
    </row>
    <row r="815" spans="4:7" ht="28.8" x14ac:dyDescent="0.3">
      <c r="D815" s="1">
        <v>1995</v>
      </c>
      <c r="E815" s="1">
        <v>12</v>
      </c>
      <c r="F815" s="1" t="s">
        <v>288</v>
      </c>
      <c r="G815" s="1">
        <v>5</v>
      </c>
    </row>
    <row r="816" spans="4:7" ht="72" x14ac:dyDescent="0.3">
      <c r="D816" s="1">
        <v>1995</v>
      </c>
      <c r="E816" s="1">
        <v>12</v>
      </c>
      <c r="F816" s="1" t="s">
        <v>256</v>
      </c>
      <c r="G816" s="1">
        <v>2</v>
      </c>
    </row>
    <row r="817" spans="4:7" ht="43.2" x14ac:dyDescent="0.3">
      <c r="D817" s="1">
        <v>1996</v>
      </c>
      <c r="E817" s="1">
        <v>1</v>
      </c>
      <c r="F817" s="1" t="s">
        <v>222</v>
      </c>
      <c r="G817" s="1">
        <v>188</v>
      </c>
    </row>
    <row r="818" spans="4:7" ht="28.8" x14ac:dyDescent="0.3">
      <c r="D818" s="1">
        <v>1996</v>
      </c>
      <c r="E818" s="1">
        <v>1</v>
      </c>
      <c r="F818" s="1" t="s">
        <v>243</v>
      </c>
      <c r="G818" s="1">
        <v>149</v>
      </c>
    </row>
    <row r="819" spans="4:7" ht="28.8" x14ac:dyDescent="0.3">
      <c r="D819" s="1">
        <v>1996</v>
      </c>
      <c r="E819" s="1">
        <v>1</v>
      </c>
      <c r="F819" s="1" t="s">
        <v>252</v>
      </c>
      <c r="G819" s="1">
        <v>148</v>
      </c>
    </row>
    <row r="820" spans="4:7" ht="57.6" x14ac:dyDescent="0.3">
      <c r="D820" s="1">
        <v>1996</v>
      </c>
      <c r="E820" s="1">
        <v>1</v>
      </c>
      <c r="F820" s="1" t="s">
        <v>265</v>
      </c>
      <c r="G820" s="1">
        <v>117</v>
      </c>
    </row>
    <row r="821" spans="4:7" ht="28.8" x14ac:dyDescent="0.3">
      <c r="D821" s="1">
        <v>1996</v>
      </c>
      <c r="E821" s="1">
        <v>1</v>
      </c>
      <c r="F821" s="1" t="s">
        <v>223</v>
      </c>
      <c r="G821" s="1">
        <v>108</v>
      </c>
    </row>
    <row r="822" spans="4:7" ht="43.2" x14ac:dyDescent="0.3">
      <c r="D822" s="1">
        <v>1996</v>
      </c>
      <c r="E822" s="1">
        <v>1</v>
      </c>
      <c r="F822" s="1" t="s">
        <v>221</v>
      </c>
      <c r="G822" s="1">
        <v>100</v>
      </c>
    </row>
    <row r="823" spans="4:7" x14ac:dyDescent="0.3">
      <c r="D823" s="1">
        <v>1996</v>
      </c>
      <c r="E823" s="1">
        <v>1</v>
      </c>
      <c r="F823" s="1" t="s">
        <v>239</v>
      </c>
      <c r="G823" s="1">
        <v>85</v>
      </c>
    </row>
    <row r="824" spans="4:7" ht="28.8" x14ac:dyDescent="0.3">
      <c r="D824" s="1">
        <v>1996</v>
      </c>
      <c r="E824" s="1">
        <v>1</v>
      </c>
      <c r="F824" s="1" t="s">
        <v>250</v>
      </c>
      <c r="G824" s="1">
        <v>85</v>
      </c>
    </row>
    <row r="825" spans="4:7" x14ac:dyDescent="0.3">
      <c r="D825" s="1">
        <v>1996</v>
      </c>
      <c r="E825" s="1">
        <v>1</v>
      </c>
      <c r="F825" s="1" t="s">
        <v>238</v>
      </c>
      <c r="G825" s="1">
        <v>85</v>
      </c>
    </row>
    <row r="826" spans="4:7" ht="57.6" x14ac:dyDescent="0.3">
      <c r="D826" s="1">
        <v>1996</v>
      </c>
      <c r="E826" s="1">
        <v>1</v>
      </c>
      <c r="F826" s="1" t="s">
        <v>246</v>
      </c>
      <c r="G826" s="1">
        <v>82</v>
      </c>
    </row>
    <row r="827" spans="4:7" ht="72" x14ac:dyDescent="0.3">
      <c r="D827" s="1">
        <v>1996</v>
      </c>
      <c r="E827" s="1">
        <v>1</v>
      </c>
      <c r="F827" s="1" t="s">
        <v>263</v>
      </c>
      <c r="G827" s="1">
        <v>74</v>
      </c>
    </row>
    <row r="828" spans="4:7" ht="43.2" x14ac:dyDescent="0.3">
      <c r="D828" s="1">
        <v>1996</v>
      </c>
      <c r="E828" s="1">
        <v>1</v>
      </c>
      <c r="F828" s="1" t="s">
        <v>272</v>
      </c>
      <c r="G828" s="1">
        <v>74</v>
      </c>
    </row>
    <row r="829" spans="4:7" ht="43.2" x14ac:dyDescent="0.3">
      <c r="D829" s="1">
        <v>1996</v>
      </c>
      <c r="E829" s="1">
        <v>1</v>
      </c>
      <c r="F829" s="1" t="s">
        <v>260</v>
      </c>
      <c r="G829" s="1">
        <v>73</v>
      </c>
    </row>
    <row r="830" spans="4:7" ht="57.6" x14ac:dyDescent="0.3">
      <c r="D830" s="1">
        <v>1996</v>
      </c>
      <c r="E830" s="1">
        <v>1</v>
      </c>
      <c r="F830" s="1" t="s">
        <v>217</v>
      </c>
      <c r="G830" s="1">
        <v>72</v>
      </c>
    </row>
    <row r="831" spans="4:7" ht="43.2" x14ac:dyDescent="0.3">
      <c r="D831" s="1">
        <v>1996</v>
      </c>
      <c r="E831" s="1">
        <v>1</v>
      </c>
      <c r="F831" s="1" t="s">
        <v>218</v>
      </c>
      <c r="G831" s="1">
        <v>65</v>
      </c>
    </row>
    <row r="832" spans="4:7" ht="57.6" x14ac:dyDescent="0.3">
      <c r="D832" s="1">
        <v>1996</v>
      </c>
      <c r="E832" s="1">
        <v>1</v>
      </c>
      <c r="F832" s="1" t="s">
        <v>282</v>
      </c>
      <c r="G832" s="1">
        <v>62</v>
      </c>
    </row>
    <row r="833" spans="4:7" ht="28.8" x14ac:dyDescent="0.3">
      <c r="D833" s="1">
        <v>1996</v>
      </c>
      <c r="E833" s="1">
        <v>1</v>
      </c>
      <c r="F833" s="1" t="s">
        <v>236</v>
      </c>
      <c r="G833" s="1">
        <v>60</v>
      </c>
    </row>
    <row r="834" spans="4:7" x14ac:dyDescent="0.3">
      <c r="D834" s="1">
        <v>1996</v>
      </c>
      <c r="E834" s="1">
        <v>1</v>
      </c>
      <c r="F834" s="1" t="s">
        <v>232</v>
      </c>
      <c r="G834" s="1">
        <v>52</v>
      </c>
    </row>
    <row r="835" spans="4:7" ht="57.6" x14ac:dyDescent="0.3">
      <c r="D835" s="1">
        <v>1996</v>
      </c>
      <c r="E835" s="1">
        <v>1</v>
      </c>
      <c r="F835" s="1" t="s">
        <v>283</v>
      </c>
      <c r="G835" s="1">
        <v>50</v>
      </c>
    </row>
    <row r="836" spans="4:7" ht="28.8" x14ac:dyDescent="0.3">
      <c r="D836" s="1">
        <v>1996</v>
      </c>
      <c r="E836" s="1">
        <v>1</v>
      </c>
      <c r="F836" s="1" t="s">
        <v>288</v>
      </c>
      <c r="G836" s="1">
        <v>50</v>
      </c>
    </row>
    <row r="837" spans="4:7" ht="28.8" x14ac:dyDescent="0.3">
      <c r="D837" s="1">
        <v>1996</v>
      </c>
      <c r="E837" s="1">
        <v>1</v>
      </c>
      <c r="F837" s="1" t="s">
        <v>220</v>
      </c>
      <c r="G837" s="1">
        <v>42</v>
      </c>
    </row>
    <row r="838" spans="4:7" ht="43.2" x14ac:dyDescent="0.3">
      <c r="D838" s="1">
        <v>1996</v>
      </c>
      <c r="E838" s="1">
        <v>1</v>
      </c>
      <c r="F838" s="1" t="s">
        <v>244</v>
      </c>
      <c r="G838" s="1">
        <v>40</v>
      </c>
    </row>
    <row r="839" spans="4:7" ht="43.2" x14ac:dyDescent="0.3">
      <c r="D839" s="1">
        <v>1996</v>
      </c>
      <c r="E839" s="1">
        <v>1</v>
      </c>
      <c r="F839" s="1" t="s">
        <v>278</v>
      </c>
      <c r="G839" s="1">
        <v>40</v>
      </c>
    </row>
    <row r="840" spans="4:7" ht="43.2" x14ac:dyDescent="0.3">
      <c r="D840" s="1">
        <v>1996</v>
      </c>
      <c r="E840" s="1">
        <v>1</v>
      </c>
      <c r="F840" s="1" t="s">
        <v>257</v>
      </c>
      <c r="G840" s="1">
        <v>40</v>
      </c>
    </row>
    <row r="841" spans="4:7" ht="43.2" x14ac:dyDescent="0.3">
      <c r="D841" s="1">
        <v>1996</v>
      </c>
      <c r="E841" s="1">
        <v>1</v>
      </c>
      <c r="F841" s="1" t="s">
        <v>226</v>
      </c>
      <c r="G841" s="1">
        <v>40</v>
      </c>
    </row>
    <row r="842" spans="4:7" ht="43.2" x14ac:dyDescent="0.3">
      <c r="D842" s="1">
        <v>1996</v>
      </c>
      <c r="E842" s="1">
        <v>1</v>
      </c>
      <c r="F842" s="1" t="s">
        <v>245</v>
      </c>
      <c r="G842" s="1">
        <v>40</v>
      </c>
    </row>
    <row r="843" spans="4:7" ht="72" x14ac:dyDescent="0.3">
      <c r="D843" s="1">
        <v>1996</v>
      </c>
      <c r="E843" s="1">
        <v>1</v>
      </c>
      <c r="F843" s="1" t="s">
        <v>231</v>
      </c>
      <c r="G843" s="1">
        <v>38</v>
      </c>
    </row>
    <row r="844" spans="4:7" ht="28.8" x14ac:dyDescent="0.3">
      <c r="D844" s="1">
        <v>1996</v>
      </c>
      <c r="E844" s="1">
        <v>1</v>
      </c>
      <c r="F844" s="1" t="s">
        <v>254</v>
      </c>
      <c r="G844" s="1">
        <v>35</v>
      </c>
    </row>
    <row r="845" spans="4:7" ht="57.6" x14ac:dyDescent="0.3">
      <c r="D845" s="1">
        <v>1996</v>
      </c>
      <c r="E845" s="1">
        <v>1</v>
      </c>
      <c r="F845" s="1" t="s">
        <v>230</v>
      </c>
      <c r="G845" s="1">
        <v>35</v>
      </c>
    </row>
    <row r="846" spans="4:7" ht="57.6" x14ac:dyDescent="0.3">
      <c r="D846" s="1">
        <v>1996</v>
      </c>
      <c r="E846" s="1">
        <v>1</v>
      </c>
      <c r="F846" s="1" t="s">
        <v>261</v>
      </c>
      <c r="G846" s="1">
        <v>34</v>
      </c>
    </row>
    <row r="847" spans="4:7" ht="28.8" x14ac:dyDescent="0.3">
      <c r="D847" s="1">
        <v>1996</v>
      </c>
      <c r="E847" s="1">
        <v>1</v>
      </c>
      <c r="F847" s="1" t="s">
        <v>227</v>
      </c>
      <c r="G847" s="1">
        <v>30</v>
      </c>
    </row>
    <row r="848" spans="4:7" ht="28.8" x14ac:dyDescent="0.3">
      <c r="D848" s="1">
        <v>1996</v>
      </c>
      <c r="E848" s="1">
        <v>1</v>
      </c>
      <c r="F848" s="1" t="s">
        <v>280</v>
      </c>
      <c r="G848" s="1">
        <v>30</v>
      </c>
    </row>
    <row r="849" spans="4:7" x14ac:dyDescent="0.3">
      <c r="D849" s="1">
        <v>1996</v>
      </c>
      <c r="E849" s="1">
        <v>1</v>
      </c>
      <c r="F849" s="1" t="s">
        <v>247</v>
      </c>
      <c r="G849" s="1">
        <v>30</v>
      </c>
    </row>
    <row r="850" spans="4:7" ht="57.6" x14ac:dyDescent="0.3">
      <c r="D850" s="1">
        <v>1996</v>
      </c>
      <c r="E850" s="1">
        <v>1</v>
      </c>
      <c r="F850" s="1" t="s">
        <v>251</v>
      </c>
      <c r="G850" s="1">
        <v>30</v>
      </c>
    </row>
    <row r="851" spans="4:7" ht="28.8" x14ac:dyDescent="0.3">
      <c r="D851" s="1">
        <v>1996</v>
      </c>
      <c r="E851" s="1">
        <v>1</v>
      </c>
      <c r="F851" s="1" t="s">
        <v>240</v>
      </c>
      <c r="G851" s="1">
        <v>30</v>
      </c>
    </row>
    <row r="852" spans="4:7" ht="28.8" x14ac:dyDescent="0.3">
      <c r="D852" s="1">
        <v>1996</v>
      </c>
      <c r="E852" s="1">
        <v>1</v>
      </c>
      <c r="F852" s="1" t="s">
        <v>224</v>
      </c>
      <c r="G852" s="1">
        <v>30</v>
      </c>
    </row>
    <row r="853" spans="4:7" ht="28.8" x14ac:dyDescent="0.3">
      <c r="D853" s="1">
        <v>1996</v>
      </c>
      <c r="E853" s="1">
        <v>1</v>
      </c>
      <c r="F853" s="1" t="s">
        <v>235</v>
      </c>
      <c r="G853" s="1">
        <v>28</v>
      </c>
    </row>
    <row r="854" spans="4:7" ht="28.8" x14ac:dyDescent="0.3">
      <c r="D854" s="1">
        <v>1996</v>
      </c>
      <c r="E854" s="1">
        <v>1</v>
      </c>
      <c r="F854" s="1" t="s">
        <v>279</v>
      </c>
      <c r="G854" s="1">
        <v>27</v>
      </c>
    </row>
    <row r="855" spans="4:7" ht="28.8" x14ac:dyDescent="0.3">
      <c r="D855" s="1">
        <v>1996</v>
      </c>
      <c r="E855" s="1">
        <v>1</v>
      </c>
      <c r="F855" s="1" t="s">
        <v>228</v>
      </c>
      <c r="G855" s="1">
        <v>24</v>
      </c>
    </row>
    <row r="856" spans="4:7" ht="43.2" x14ac:dyDescent="0.3">
      <c r="D856" s="1">
        <v>1996</v>
      </c>
      <c r="E856" s="1">
        <v>1</v>
      </c>
      <c r="F856" s="1" t="s">
        <v>225</v>
      </c>
      <c r="G856" s="1">
        <v>24</v>
      </c>
    </row>
    <row r="857" spans="4:7" x14ac:dyDescent="0.3">
      <c r="D857" s="1">
        <v>1996</v>
      </c>
      <c r="E857" s="1">
        <v>1</v>
      </c>
      <c r="F857" s="1" t="s">
        <v>285</v>
      </c>
      <c r="G857" s="1">
        <v>23</v>
      </c>
    </row>
    <row r="858" spans="4:7" ht="43.2" x14ac:dyDescent="0.3">
      <c r="D858" s="1">
        <v>1996</v>
      </c>
      <c r="E858" s="1">
        <v>1</v>
      </c>
      <c r="F858" s="1" t="s">
        <v>233</v>
      </c>
      <c r="G858" s="1">
        <v>21</v>
      </c>
    </row>
    <row r="859" spans="4:7" ht="28.8" x14ac:dyDescent="0.3">
      <c r="D859" s="1">
        <v>1996</v>
      </c>
      <c r="E859" s="1">
        <v>1</v>
      </c>
      <c r="F859" s="1" t="s">
        <v>286</v>
      </c>
      <c r="G859" s="1">
        <v>20</v>
      </c>
    </row>
    <row r="860" spans="4:7" ht="28.8" x14ac:dyDescent="0.3">
      <c r="D860" s="1">
        <v>1996</v>
      </c>
      <c r="E860" s="1">
        <v>1</v>
      </c>
      <c r="F860" s="1" t="s">
        <v>242</v>
      </c>
      <c r="G860" s="1">
        <v>20</v>
      </c>
    </row>
    <row r="861" spans="4:7" x14ac:dyDescent="0.3">
      <c r="D861" s="1">
        <v>1996</v>
      </c>
      <c r="E861" s="1">
        <v>1</v>
      </c>
      <c r="F861" s="1" t="s">
        <v>275</v>
      </c>
      <c r="G861" s="1">
        <v>20</v>
      </c>
    </row>
    <row r="862" spans="4:7" ht="28.8" x14ac:dyDescent="0.3">
      <c r="D862" s="1">
        <v>1996</v>
      </c>
      <c r="E862" s="1">
        <v>1</v>
      </c>
      <c r="F862" s="1" t="s">
        <v>276</v>
      </c>
      <c r="G862" s="1">
        <v>19</v>
      </c>
    </row>
    <row r="863" spans="4:7" ht="43.2" x14ac:dyDescent="0.3">
      <c r="D863" s="1">
        <v>1996</v>
      </c>
      <c r="E863" s="1">
        <v>1</v>
      </c>
      <c r="F863" s="1" t="s">
        <v>219</v>
      </c>
      <c r="G863" s="1">
        <v>15</v>
      </c>
    </row>
    <row r="864" spans="4:7" ht="72" x14ac:dyDescent="0.3">
      <c r="D864" s="1">
        <v>1996</v>
      </c>
      <c r="E864" s="1">
        <v>1</v>
      </c>
      <c r="F864" s="1" t="s">
        <v>256</v>
      </c>
      <c r="G864" s="1">
        <v>15</v>
      </c>
    </row>
    <row r="865" spans="4:7" ht="28.8" x14ac:dyDescent="0.3">
      <c r="D865" s="1">
        <v>1996</v>
      </c>
      <c r="E865" s="1">
        <v>1</v>
      </c>
      <c r="F865" s="1" t="s">
        <v>216</v>
      </c>
      <c r="G865" s="1">
        <v>15</v>
      </c>
    </row>
    <row r="866" spans="4:7" ht="28.8" x14ac:dyDescent="0.3">
      <c r="D866" s="1">
        <v>1996</v>
      </c>
      <c r="E866" s="1">
        <v>1</v>
      </c>
      <c r="F866" s="1" t="s">
        <v>248</v>
      </c>
      <c r="G866" s="1">
        <v>15</v>
      </c>
    </row>
    <row r="867" spans="4:7" x14ac:dyDescent="0.3">
      <c r="D867" s="1">
        <v>1996</v>
      </c>
      <c r="E867" s="1">
        <v>1</v>
      </c>
      <c r="F867" s="1" t="s">
        <v>266</v>
      </c>
      <c r="G867" s="1">
        <v>15</v>
      </c>
    </row>
    <row r="868" spans="4:7" ht="43.2" x14ac:dyDescent="0.3">
      <c r="D868" s="1">
        <v>1996</v>
      </c>
      <c r="E868" s="1">
        <v>1</v>
      </c>
      <c r="F868" s="1" t="s">
        <v>269</v>
      </c>
      <c r="G868" s="1">
        <v>10</v>
      </c>
    </row>
    <row r="869" spans="4:7" ht="28.8" x14ac:dyDescent="0.3">
      <c r="D869" s="1">
        <v>1996</v>
      </c>
      <c r="E869" s="1">
        <v>1</v>
      </c>
      <c r="F869" s="1" t="s">
        <v>255</v>
      </c>
      <c r="G869" s="1">
        <v>10</v>
      </c>
    </row>
    <row r="870" spans="4:7" ht="28.8" x14ac:dyDescent="0.3">
      <c r="D870" s="1">
        <v>1996</v>
      </c>
      <c r="E870" s="1">
        <v>1</v>
      </c>
      <c r="F870" s="1" t="s">
        <v>270</v>
      </c>
      <c r="G870" s="1">
        <v>10</v>
      </c>
    </row>
    <row r="871" spans="4:7" x14ac:dyDescent="0.3">
      <c r="D871" s="1">
        <v>1996</v>
      </c>
      <c r="E871" s="1">
        <v>1</v>
      </c>
      <c r="F871" s="1" t="s">
        <v>258</v>
      </c>
      <c r="G871" s="1">
        <v>4</v>
      </c>
    </row>
    <row r="872" spans="4:7" ht="43.2" x14ac:dyDescent="0.3">
      <c r="D872" s="1">
        <v>1996</v>
      </c>
      <c r="E872" s="1">
        <v>1</v>
      </c>
      <c r="F872" s="1" t="s">
        <v>289</v>
      </c>
      <c r="G872" s="1">
        <v>3</v>
      </c>
    </row>
    <row r="873" spans="4:7" ht="43.2" x14ac:dyDescent="0.3">
      <c r="D873" s="1">
        <v>1996</v>
      </c>
      <c r="E873" s="1">
        <v>1</v>
      </c>
      <c r="F873" s="1" t="s">
        <v>237</v>
      </c>
      <c r="G873" s="1">
        <v>1</v>
      </c>
    </row>
    <row r="874" spans="4:7" ht="43.2" x14ac:dyDescent="0.3">
      <c r="D874" s="1">
        <v>1996</v>
      </c>
      <c r="E874" s="1">
        <v>2</v>
      </c>
      <c r="F874" s="1" t="s">
        <v>219</v>
      </c>
      <c r="G874" s="1">
        <v>156</v>
      </c>
    </row>
    <row r="875" spans="4:7" ht="43.2" x14ac:dyDescent="0.3">
      <c r="D875" s="1">
        <v>1996</v>
      </c>
      <c r="E875" s="1">
        <v>2</v>
      </c>
      <c r="F875" s="1" t="s">
        <v>218</v>
      </c>
      <c r="G875" s="1">
        <v>147</v>
      </c>
    </row>
    <row r="876" spans="4:7" x14ac:dyDescent="0.3">
      <c r="D876" s="1">
        <v>1996</v>
      </c>
      <c r="E876" s="1">
        <v>2</v>
      </c>
      <c r="F876" s="1" t="s">
        <v>232</v>
      </c>
      <c r="G876" s="1">
        <v>131</v>
      </c>
    </row>
    <row r="877" spans="4:7" ht="43.2" x14ac:dyDescent="0.3">
      <c r="D877" s="1">
        <v>1996</v>
      </c>
      <c r="E877" s="1">
        <v>2</v>
      </c>
      <c r="F877" s="1" t="s">
        <v>237</v>
      </c>
      <c r="G877" s="1">
        <v>115</v>
      </c>
    </row>
    <row r="878" spans="4:7" ht="57.6" x14ac:dyDescent="0.3">
      <c r="D878" s="1">
        <v>1996</v>
      </c>
      <c r="E878" s="1">
        <v>2</v>
      </c>
      <c r="F878" s="1" t="s">
        <v>230</v>
      </c>
      <c r="G878" s="1">
        <v>111</v>
      </c>
    </row>
    <row r="879" spans="4:7" ht="43.2" x14ac:dyDescent="0.3">
      <c r="D879" s="1">
        <v>1996</v>
      </c>
      <c r="E879" s="1">
        <v>2</v>
      </c>
      <c r="F879" s="1" t="s">
        <v>233</v>
      </c>
      <c r="G879" s="1">
        <v>105</v>
      </c>
    </row>
    <row r="880" spans="4:7" ht="43.2" x14ac:dyDescent="0.3">
      <c r="D880" s="1">
        <v>1996</v>
      </c>
      <c r="E880" s="1">
        <v>2</v>
      </c>
      <c r="F880" s="1" t="s">
        <v>221</v>
      </c>
      <c r="G880" s="1">
        <v>104</v>
      </c>
    </row>
    <row r="881" spans="4:7" ht="28.8" x14ac:dyDescent="0.3">
      <c r="D881" s="1">
        <v>1996</v>
      </c>
      <c r="E881" s="1">
        <v>2</v>
      </c>
      <c r="F881" s="1" t="s">
        <v>220</v>
      </c>
      <c r="G881" s="1">
        <v>98</v>
      </c>
    </row>
    <row r="882" spans="4:7" ht="28.8" x14ac:dyDescent="0.3">
      <c r="D882" s="1">
        <v>1996</v>
      </c>
      <c r="E882" s="1">
        <v>2</v>
      </c>
      <c r="F882" s="1" t="s">
        <v>254</v>
      </c>
      <c r="G882" s="1">
        <v>96</v>
      </c>
    </row>
    <row r="883" spans="4:7" ht="28.8" x14ac:dyDescent="0.3">
      <c r="D883" s="1">
        <v>1996</v>
      </c>
      <c r="E883" s="1">
        <v>2</v>
      </c>
      <c r="F883" s="1" t="s">
        <v>241</v>
      </c>
      <c r="G883" s="1">
        <v>91</v>
      </c>
    </row>
    <row r="884" spans="4:7" x14ac:dyDescent="0.3">
      <c r="D884" s="1">
        <v>1996</v>
      </c>
      <c r="E884" s="1">
        <v>2</v>
      </c>
      <c r="F884" s="1" t="s">
        <v>275</v>
      </c>
      <c r="G884" s="1">
        <v>91</v>
      </c>
    </row>
    <row r="885" spans="4:7" ht="57.6" x14ac:dyDescent="0.3">
      <c r="D885" s="1">
        <v>1996</v>
      </c>
      <c r="E885" s="1">
        <v>2</v>
      </c>
      <c r="F885" s="1" t="s">
        <v>271</v>
      </c>
      <c r="G885" s="1">
        <v>90</v>
      </c>
    </row>
    <row r="886" spans="4:7" ht="28.8" x14ac:dyDescent="0.3">
      <c r="D886" s="1">
        <v>1996</v>
      </c>
      <c r="E886" s="1">
        <v>2</v>
      </c>
      <c r="F886" s="1" t="s">
        <v>277</v>
      </c>
      <c r="G886" s="1">
        <v>88</v>
      </c>
    </row>
    <row r="887" spans="4:7" ht="43.2" x14ac:dyDescent="0.3">
      <c r="D887" s="1">
        <v>1996</v>
      </c>
      <c r="E887" s="1">
        <v>2</v>
      </c>
      <c r="F887" s="1" t="s">
        <v>269</v>
      </c>
      <c r="G887" s="1">
        <v>87</v>
      </c>
    </row>
    <row r="888" spans="4:7" x14ac:dyDescent="0.3">
      <c r="D888" s="1">
        <v>1996</v>
      </c>
      <c r="E888" s="1">
        <v>2</v>
      </c>
      <c r="F888" s="1" t="s">
        <v>249</v>
      </c>
      <c r="G888" s="1">
        <v>84</v>
      </c>
    </row>
    <row r="889" spans="4:7" ht="28.8" x14ac:dyDescent="0.3">
      <c r="D889" s="1">
        <v>1996</v>
      </c>
      <c r="E889" s="1">
        <v>2</v>
      </c>
      <c r="F889" s="1" t="s">
        <v>286</v>
      </c>
      <c r="G889" s="1">
        <v>79</v>
      </c>
    </row>
    <row r="890" spans="4:7" ht="28.8" x14ac:dyDescent="0.3">
      <c r="D890" s="1">
        <v>1996</v>
      </c>
      <c r="E890" s="1">
        <v>2</v>
      </c>
      <c r="F890" s="1" t="s">
        <v>243</v>
      </c>
      <c r="G890" s="1">
        <v>74</v>
      </c>
    </row>
    <row r="891" spans="4:7" ht="28.8" x14ac:dyDescent="0.3">
      <c r="D891" s="1">
        <v>1996</v>
      </c>
      <c r="E891" s="1">
        <v>2</v>
      </c>
      <c r="F891" s="1" t="s">
        <v>216</v>
      </c>
      <c r="G891" s="1">
        <v>70</v>
      </c>
    </row>
    <row r="892" spans="4:7" ht="28.8" x14ac:dyDescent="0.3">
      <c r="D892" s="1">
        <v>1996</v>
      </c>
      <c r="E892" s="1">
        <v>2</v>
      </c>
      <c r="F892" s="1" t="s">
        <v>267</v>
      </c>
      <c r="G892" s="1">
        <v>64</v>
      </c>
    </row>
    <row r="893" spans="4:7" x14ac:dyDescent="0.3">
      <c r="D893" s="1">
        <v>1996</v>
      </c>
      <c r="E893" s="1">
        <v>2</v>
      </c>
      <c r="F893" s="1" t="s">
        <v>239</v>
      </c>
      <c r="G893" s="1">
        <v>62</v>
      </c>
    </row>
    <row r="894" spans="4:7" ht="57.6" x14ac:dyDescent="0.3">
      <c r="D894" s="1">
        <v>1996</v>
      </c>
      <c r="E894" s="1">
        <v>2</v>
      </c>
      <c r="F894" s="1" t="s">
        <v>261</v>
      </c>
      <c r="G894" s="1">
        <v>62</v>
      </c>
    </row>
    <row r="895" spans="4:7" ht="28.8" x14ac:dyDescent="0.3">
      <c r="D895" s="1">
        <v>1996</v>
      </c>
      <c r="E895" s="1">
        <v>2</v>
      </c>
      <c r="F895" s="1" t="s">
        <v>287</v>
      </c>
      <c r="G895" s="1">
        <v>60</v>
      </c>
    </row>
    <row r="896" spans="4:7" ht="28.8" x14ac:dyDescent="0.3">
      <c r="D896" s="1">
        <v>1996</v>
      </c>
      <c r="E896" s="1">
        <v>2</v>
      </c>
      <c r="F896" s="1" t="s">
        <v>248</v>
      </c>
      <c r="G896" s="1">
        <v>59</v>
      </c>
    </row>
    <row r="897" spans="4:7" ht="28.8" x14ac:dyDescent="0.3">
      <c r="D897" s="1">
        <v>1996</v>
      </c>
      <c r="E897" s="1">
        <v>2</v>
      </c>
      <c r="F897" s="1" t="s">
        <v>252</v>
      </c>
      <c r="G897" s="1">
        <v>59</v>
      </c>
    </row>
    <row r="898" spans="4:7" ht="43.2" x14ac:dyDescent="0.3">
      <c r="D898" s="1">
        <v>1996</v>
      </c>
      <c r="E898" s="1">
        <v>2</v>
      </c>
      <c r="F898" s="1" t="s">
        <v>226</v>
      </c>
      <c r="G898" s="1">
        <v>55</v>
      </c>
    </row>
    <row r="899" spans="4:7" ht="28.8" x14ac:dyDescent="0.3">
      <c r="D899" s="1">
        <v>1996</v>
      </c>
      <c r="E899" s="1">
        <v>2</v>
      </c>
      <c r="F899" s="1" t="s">
        <v>235</v>
      </c>
      <c r="G899" s="1">
        <v>55</v>
      </c>
    </row>
    <row r="900" spans="4:7" ht="72" x14ac:dyDescent="0.3">
      <c r="D900" s="1">
        <v>1996</v>
      </c>
      <c r="E900" s="1">
        <v>2</v>
      </c>
      <c r="F900" s="1" t="s">
        <v>256</v>
      </c>
      <c r="G900" s="1">
        <v>52</v>
      </c>
    </row>
    <row r="901" spans="4:7" ht="72" x14ac:dyDescent="0.3">
      <c r="D901" s="1">
        <v>1996</v>
      </c>
      <c r="E901" s="1">
        <v>2</v>
      </c>
      <c r="F901" s="1" t="s">
        <v>263</v>
      </c>
      <c r="G901" s="1">
        <v>52</v>
      </c>
    </row>
    <row r="902" spans="4:7" ht="57.6" x14ac:dyDescent="0.3">
      <c r="D902" s="1">
        <v>1996</v>
      </c>
      <c r="E902" s="1">
        <v>2</v>
      </c>
      <c r="F902" s="1" t="s">
        <v>282</v>
      </c>
      <c r="G902" s="1">
        <v>51</v>
      </c>
    </row>
    <row r="903" spans="4:7" x14ac:dyDescent="0.3">
      <c r="D903" s="1">
        <v>1996</v>
      </c>
      <c r="E903" s="1">
        <v>2</v>
      </c>
      <c r="F903" s="1" t="s">
        <v>247</v>
      </c>
      <c r="G903" s="1">
        <v>50</v>
      </c>
    </row>
    <row r="904" spans="4:7" x14ac:dyDescent="0.3">
      <c r="D904" s="1">
        <v>1996</v>
      </c>
      <c r="E904" s="1">
        <v>2</v>
      </c>
      <c r="F904" s="1" t="s">
        <v>238</v>
      </c>
      <c r="G904" s="1">
        <v>50</v>
      </c>
    </row>
    <row r="905" spans="4:7" ht="43.2" x14ac:dyDescent="0.3">
      <c r="D905" s="1">
        <v>1996</v>
      </c>
      <c r="E905" s="1">
        <v>2</v>
      </c>
      <c r="F905" s="1" t="s">
        <v>260</v>
      </c>
      <c r="G905" s="1">
        <v>44</v>
      </c>
    </row>
    <row r="906" spans="4:7" ht="28.8" x14ac:dyDescent="0.3">
      <c r="D906" s="1">
        <v>1996</v>
      </c>
      <c r="E906" s="1">
        <v>2</v>
      </c>
      <c r="F906" s="1" t="s">
        <v>227</v>
      </c>
      <c r="G906" s="1">
        <v>41</v>
      </c>
    </row>
    <row r="907" spans="4:7" ht="28.8" x14ac:dyDescent="0.3">
      <c r="D907" s="1">
        <v>1996</v>
      </c>
      <c r="E907" s="1">
        <v>2</v>
      </c>
      <c r="F907" s="1" t="s">
        <v>280</v>
      </c>
      <c r="G907" s="1">
        <v>40</v>
      </c>
    </row>
    <row r="908" spans="4:7" ht="43.2" x14ac:dyDescent="0.3">
      <c r="D908" s="1">
        <v>1996</v>
      </c>
      <c r="E908" s="1">
        <v>2</v>
      </c>
      <c r="F908" s="1" t="s">
        <v>278</v>
      </c>
      <c r="G908" s="1">
        <v>40</v>
      </c>
    </row>
    <row r="909" spans="4:7" ht="28.8" x14ac:dyDescent="0.3">
      <c r="D909" s="1">
        <v>1996</v>
      </c>
      <c r="E909" s="1">
        <v>2</v>
      </c>
      <c r="F909" s="1" t="s">
        <v>279</v>
      </c>
      <c r="G909" s="1">
        <v>36</v>
      </c>
    </row>
    <row r="910" spans="4:7" x14ac:dyDescent="0.3">
      <c r="D910" s="1">
        <v>1996</v>
      </c>
      <c r="E910" s="1">
        <v>2</v>
      </c>
      <c r="F910" s="1" t="s">
        <v>273</v>
      </c>
      <c r="G910" s="1">
        <v>35</v>
      </c>
    </row>
    <row r="911" spans="4:7" ht="28.8" x14ac:dyDescent="0.3">
      <c r="D911" s="1">
        <v>1996</v>
      </c>
      <c r="E911" s="1">
        <v>2</v>
      </c>
      <c r="F911" s="1" t="s">
        <v>250</v>
      </c>
      <c r="G911" s="1">
        <v>35</v>
      </c>
    </row>
    <row r="912" spans="4:7" ht="28.8" x14ac:dyDescent="0.3">
      <c r="D912" s="1">
        <v>1996</v>
      </c>
      <c r="E912" s="1">
        <v>2</v>
      </c>
      <c r="F912" s="1" t="s">
        <v>224</v>
      </c>
      <c r="G912" s="1">
        <v>35</v>
      </c>
    </row>
    <row r="913" spans="4:7" ht="28.8" x14ac:dyDescent="0.3">
      <c r="D913" s="1">
        <v>1996</v>
      </c>
      <c r="E913" s="1">
        <v>2</v>
      </c>
      <c r="F913" s="1" t="s">
        <v>276</v>
      </c>
      <c r="G913" s="1">
        <v>35</v>
      </c>
    </row>
    <row r="914" spans="4:7" ht="28.8" x14ac:dyDescent="0.3">
      <c r="D914" s="1">
        <v>1996</v>
      </c>
      <c r="E914" s="1">
        <v>2</v>
      </c>
      <c r="F914" s="1" t="s">
        <v>242</v>
      </c>
      <c r="G914" s="1">
        <v>30</v>
      </c>
    </row>
    <row r="915" spans="4:7" ht="57.6" x14ac:dyDescent="0.3">
      <c r="D915" s="1">
        <v>1996</v>
      </c>
      <c r="E915" s="1">
        <v>2</v>
      </c>
      <c r="F915" s="1" t="s">
        <v>274</v>
      </c>
      <c r="G915" s="1">
        <v>30</v>
      </c>
    </row>
    <row r="916" spans="4:7" ht="43.2" x14ac:dyDescent="0.3">
      <c r="D916" s="1">
        <v>1996</v>
      </c>
      <c r="E916" s="1">
        <v>2</v>
      </c>
      <c r="F916" s="1" t="s">
        <v>272</v>
      </c>
      <c r="G916" s="1">
        <v>29</v>
      </c>
    </row>
    <row r="917" spans="4:7" ht="28.8" x14ac:dyDescent="0.3">
      <c r="D917" s="1">
        <v>1996</v>
      </c>
      <c r="E917" s="1">
        <v>2</v>
      </c>
      <c r="F917" s="1" t="s">
        <v>234</v>
      </c>
      <c r="G917" s="1">
        <v>29</v>
      </c>
    </row>
    <row r="918" spans="4:7" ht="72" x14ac:dyDescent="0.3">
      <c r="D918" s="1">
        <v>1996</v>
      </c>
      <c r="E918" s="1">
        <v>2</v>
      </c>
      <c r="F918" s="1" t="s">
        <v>231</v>
      </c>
      <c r="G918" s="1">
        <v>25</v>
      </c>
    </row>
    <row r="919" spans="4:7" ht="72" x14ac:dyDescent="0.3">
      <c r="D919" s="1">
        <v>1996</v>
      </c>
      <c r="E919" s="1">
        <v>2</v>
      </c>
      <c r="F919" s="1" t="s">
        <v>259</v>
      </c>
      <c r="G919" s="1">
        <v>21</v>
      </c>
    </row>
    <row r="920" spans="4:7" x14ac:dyDescent="0.3">
      <c r="D920" s="1">
        <v>1996</v>
      </c>
      <c r="E920" s="1">
        <v>2</v>
      </c>
      <c r="F920" s="1" t="s">
        <v>285</v>
      </c>
      <c r="G920" s="1">
        <v>20</v>
      </c>
    </row>
    <row r="921" spans="4:7" x14ac:dyDescent="0.3">
      <c r="D921" s="1">
        <v>1996</v>
      </c>
      <c r="E921" s="1">
        <v>2</v>
      </c>
      <c r="F921" s="1" t="s">
        <v>291</v>
      </c>
      <c r="G921" s="1">
        <v>20</v>
      </c>
    </row>
    <row r="922" spans="4:7" ht="43.2" x14ac:dyDescent="0.3">
      <c r="D922" s="1">
        <v>1996</v>
      </c>
      <c r="E922" s="1">
        <v>2</v>
      </c>
      <c r="F922" s="1" t="s">
        <v>262</v>
      </c>
      <c r="G922" s="1">
        <v>20</v>
      </c>
    </row>
    <row r="923" spans="4:7" ht="57.6" x14ac:dyDescent="0.3">
      <c r="D923" s="1">
        <v>1996</v>
      </c>
      <c r="E923" s="1">
        <v>2</v>
      </c>
      <c r="F923" s="1" t="s">
        <v>265</v>
      </c>
      <c r="G923" s="1">
        <v>20</v>
      </c>
    </row>
    <row r="924" spans="4:7" ht="57.6" x14ac:dyDescent="0.3">
      <c r="D924" s="1">
        <v>1996</v>
      </c>
      <c r="E924" s="1">
        <v>2</v>
      </c>
      <c r="F924" s="1" t="s">
        <v>251</v>
      </c>
      <c r="G924" s="1">
        <v>20</v>
      </c>
    </row>
    <row r="925" spans="4:7" ht="43.2" x14ac:dyDescent="0.3">
      <c r="D925" s="1">
        <v>1996</v>
      </c>
      <c r="E925" s="1">
        <v>2</v>
      </c>
      <c r="F925" s="1" t="s">
        <v>245</v>
      </c>
      <c r="G925" s="1">
        <v>20</v>
      </c>
    </row>
    <row r="926" spans="4:7" ht="28.8" x14ac:dyDescent="0.3">
      <c r="D926" s="1">
        <v>1996</v>
      </c>
      <c r="E926" s="1">
        <v>2</v>
      </c>
      <c r="F926" s="1" t="s">
        <v>288</v>
      </c>
      <c r="G926" s="1">
        <v>20</v>
      </c>
    </row>
    <row r="927" spans="4:7" ht="57.6" x14ac:dyDescent="0.3">
      <c r="D927" s="1">
        <v>1996</v>
      </c>
      <c r="E927" s="1">
        <v>2</v>
      </c>
      <c r="F927" s="1" t="s">
        <v>217</v>
      </c>
      <c r="G927" s="1">
        <v>18</v>
      </c>
    </row>
    <row r="928" spans="4:7" ht="28.8" x14ac:dyDescent="0.3">
      <c r="D928" s="1">
        <v>1996</v>
      </c>
      <c r="E928" s="1">
        <v>2</v>
      </c>
      <c r="F928" s="1" t="s">
        <v>255</v>
      </c>
      <c r="G928" s="1">
        <v>16</v>
      </c>
    </row>
    <row r="929" spans="4:7" ht="57.6" x14ac:dyDescent="0.3">
      <c r="D929" s="1">
        <v>1996</v>
      </c>
      <c r="E929" s="1">
        <v>2</v>
      </c>
      <c r="F929" s="1" t="s">
        <v>246</v>
      </c>
      <c r="G929" s="1">
        <v>15</v>
      </c>
    </row>
    <row r="930" spans="4:7" ht="43.2" x14ac:dyDescent="0.3">
      <c r="D930" s="1">
        <v>1996</v>
      </c>
      <c r="E930" s="1">
        <v>2</v>
      </c>
      <c r="F930" s="1" t="s">
        <v>222</v>
      </c>
      <c r="G930" s="1">
        <v>13</v>
      </c>
    </row>
    <row r="931" spans="4:7" ht="43.2" x14ac:dyDescent="0.3">
      <c r="D931" s="1">
        <v>1996</v>
      </c>
      <c r="E931" s="1">
        <v>2</v>
      </c>
      <c r="F931" s="1" t="s">
        <v>244</v>
      </c>
      <c r="G931" s="1">
        <v>10</v>
      </c>
    </row>
    <row r="932" spans="4:7" ht="28.8" x14ac:dyDescent="0.3">
      <c r="D932" s="1">
        <v>1996</v>
      </c>
      <c r="E932" s="1">
        <v>2</v>
      </c>
      <c r="F932" s="1" t="s">
        <v>292</v>
      </c>
      <c r="G932" s="1">
        <v>8</v>
      </c>
    </row>
    <row r="933" spans="4:7" ht="72" x14ac:dyDescent="0.3">
      <c r="D933" s="1">
        <v>1996</v>
      </c>
      <c r="E933" s="1">
        <v>2</v>
      </c>
      <c r="F933" s="1" t="s">
        <v>268</v>
      </c>
      <c r="G933" s="1">
        <v>6</v>
      </c>
    </row>
    <row r="934" spans="4:7" ht="28.8" x14ac:dyDescent="0.3">
      <c r="D934" s="1">
        <v>1996</v>
      </c>
      <c r="E934" s="1">
        <v>2</v>
      </c>
      <c r="F934" s="1" t="s">
        <v>223</v>
      </c>
      <c r="G934" s="1">
        <v>6</v>
      </c>
    </row>
    <row r="935" spans="4:7" ht="57.6" x14ac:dyDescent="0.3">
      <c r="D935" s="1">
        <v>1996</v>
      </c>
      <c r="E935" s="1">
        <v>2</v>
      </c>
      <c r="F935" s="1" t="s">
        <v>229</v>
      </c>
      <c r="G935" s="1">
        <v>5</v>
      </c>
    </row>
    <row r="936" spans="4:7" ht="43.2" x14ac:dyDescent="0.3">
      <c r="D936" s="1">
        <v>1996</v>
      </c>
      <c r="E936" s="1">
        <v>2</v>
      </c>
      <c r="F936" s="1" t="s">
        <v>264</v>
      </c>
      <c r="G936" s="1">
        <v>3</v>
      </c>
    </row>
    <row r="937" spans="4:7" ht="57.6" x14ac:dyDescent="0.3">
      <c r="D937" s="1">
        <v>1996</v>
      </c>
      <c r="E937" s="1">
        <v>3</v>
      </c>
      <c r="F937" s="1" t="s">
        <v>217</v>
      </c>
      <c r="G937" s="1">
        <v>164</v>
      </c>
    </row>
    <row r="938" spans="4:7" ht="43.2" x14ac:dyDescent="0.3">
      <c r="D938" s="1">
        <v>1996</v>
      </c>
      <c r="E938" s="1">
        <v>3</v>
      </c>
      <c r="F938" s="1" t="s">
        <v>278</v>
      </c>
      <c r="G938" s="1">
        <v>146</v>
      </c>
    </row>
    <row r="939" spans="4:7" ht="57.6" x14ac:dyDescent="0.3">
      <c r="D939" s="1">
        <v>1996</v>
      </c>
      <c r="E939" s="1">
        <v>3</v>
      </c>
      <c r="F939" s="1" t="s">
        <v>265</v>
      </c>
      <c r="G939" s="1">
        <v>134</v>
      </c>
    </row>
    <row r="940" spans="4:7" ht="28.8" x14ac:dyDescent="0.3">
      <c r="D940" s="1">
        <v>1996</v>
      </c>
      <c r="E940" s="1">
        <v>3</v>
      </c>
      <c r="F940" s="1" t="s">
        <v>252</v>
      </c>
      <c r="G940" s="1">
        <v>133</v>
      </c>
    </row>
    <row r="941" spans="4:7" ht="43.2" x14ac:dyDescent="0.3">
      <c r="D941" s="1">
        <v>1996</v>
      </c>
      <c r="E941" s="1">
        <v>3</v>
      </c>
      <c r="F941" s="1" t="s">
        <v>245</v>
      </c>
      <c r="G941" s="1">
        <v>126</v>
      </c>
    </row>
    <row r="942" spans="4:7" ht="28.8" x14ac:dyDescent="0.3">
      <c r="D942" s="1">
        <v>1996</v>
      </c>
      <c r="E942" s="1">
        <v>3</v>
      </c>
      <c r="F942" s="1" t="s">
        <v>250</v>
      </c>
      <c r="G942" s="1">
        <v>115</v>
      </c>
    </row>
    <row r="943" spans="4:7" x14ac:dyDescent="0.3">
      <c r="D943" s="1">
        <v>1996</v>
      </c>
      <c r="E943" s="1">
        <v>3</v>
      </c>
      <c r="F943" s="1" t="s">
        <v>291</v>
      </c>
      <c r="G943" s="1">
        <v>105</v>
      </c>
    </row>
    <row r="944" spans="4:7" ht="43.2" x14ac:dyDescent="0.3">
      <c r="D944" s="1">
        <v>1996</v>
      </c>
      <c r="E944" s="1">
        <v>3</v>
      </c>
      <c r="F944" s="1" t="s">
        <v>237</v>
      </c>
      <c r="G944" s="1">
        <v>103</v>
      </c>
    </row>
    <row r="945" spans="4:7" ht="43.2" x14ac:dyDescent="0.3">
      <c r="D945" s="1">
        <v>1996</v>
      </c>
      <c r="E945" s="1">
        <v>3</v>
      </c>
      <c r="F945" s="1" t="s">
        <v>257</v>
      </c>
      <c r="G945" s="1">
        <v>100</v>
      </c>
    </row>
    <row r="946" spans="4:7" ht="28.8" x14ac:dyDescent="0.3">
      <c r="D946" s="1">
        <v>1996</v>
      </c>
      <c r="E946" s="1">
        <v>3</v>
      </c>
      <c r="F946" s="1" t="s">
        <v>216</v>
      </c>
      <c r="G946" s="1">
        <v>100</v>
      </c>
    </row>
    <row r="947" spans="4:7" ht="43.2" x14ac:dyDescent="0.3">
      <c r="D947" s="1">
        <v>1996</v>
      </c>
      <c r="E947" s="1">
        <v>3</v>
      </c>
      <c r="F947" s="1" t="s">
        <v>219</v>
      </c>
      <c r="G947" s="1">
        <v>100</v>
      </c>
    </row>
    <row r="948" spans="4:7" ht="28.8" x14ac:dyDescent="0.3">
      <c r="D948" s="1">
        <v>1996</v>
      </c>
      <c r="E948" s="1">
        <v>3</v>
      </c>
      <c r="F948" s="1" t="s">
        <v>223</v>
      </c>
      <c r="G948" s="1">
        <v>95</v>
      </c>
    </row>
    <row r="949" spans="4:7" x14ac:dyDescent="0.3">
      <c r="D949" s="1">
        <v>1996</v>
      </c>
      <c r="E949" s="1">
        <v>3</v>
      </c>
      <c r="F949" s="1" t="s">
        <v>249</v>
      </c>
      <c r="G949" s="1">
        <v>90</v>
      </c>
    </row>
    <row r="950" spans="4:7" x14ac:dyDescent="0.3">
      <c r="D950" s="1">
        <v>1996</v>
      </c>
      <c r="E950" s="1">
        <v>3</v>
      </c>
      <c r="F950" s="1" t="s">
        <v>258</v>
      </c>
      <c r="G950" s="1">
        <v>87</v>
      </c>
    </row>
    <row r="951" spans="4:7" ht="28.8" x14ac:dyDescent="0.3">
      <c r="D951" s="1">
        <v>1996</v>
      </c>
      <c r="E951" s="1">
        <v>3</v>
      </c>
      <c r="F951" s="1" t="s">
        <v>254</v>
      </c>
      <c r="G951" s="1">
        <v>83</v>
      </c>
    </row>
    <row r="952" spans="4:7" ht="28.8" x14ac:dyDescent="0.3">
      <c r="D952" s="1">
        <v>1996</v>
      </c>
      <c r="E952" s="1">
        <v>3</v>
      </c>
      <c r="F952" s="1" t="s">
        <v>277</v>
      </c>
      <c r="G952" s="1">
        <v>80</v>
      </c>
    </row>
    <row r="953" spans="4:7" x14ac:dyDescent="0.3">
      <c r="D953" s="1">
        <v>1996</v>
      </c>
      <c r="E953" s="1">
        <v>3</v>
      </c>
      <c r="F953" s="1" t="s">
        <v>232</v>
      </c>
      <c r="G953" s="1">
        <v>80</v>
      </c>
    </row>
    <row r="954" spans="4:7" x14ac:dyDescent="0.3">
      <c r="D954" s="1">
        <v>1996</v>
      </c>
      <c r="E954" s="1">
        <v>3</v>
      </c>
      <c r="F954" s="1" t="s">
        <v>275</v>
      </c>
      <c r="G954" s="1">
        <v>73</v>
      </c>
    </row>
    <row r="955" spans="4:7" ht="72" x14ac:dyDescent="0.3">
      <c r="D955" s="1">
        <v>1996</v>
      </c>
      <c r="E955" s="1">
        <v>3</v>
      </c>
      <c r="F955" s="1" t="s">
        <v>256</v>
      </c>
      <c r="G955" s="1">
        <v>65</v>
      </c>
    </row>
    <row r="956" spans="4:7" ht="28.8" x14ac:dyDescent="0.3">
      <c r="D956" s="1">
        <v>1996</v>
      </c>
      <c r="E956" s="1">
        <v>3</v>
      </c>
      <c r="F956" s="1" t="s">
        <v>220</v>
      </c>
      <c r="G956" s="1">
        <v>64</v>
      </c>
    </row>
    <row r="957" spans="4:7" ht="57.6" x14ac:dyDescent="0.3">
      <c r="D957" s="1">
        <v>1996</v>
      </c>
      <c r="E957" s="1">
        <v>3</v>
      </c>
      <c r="F957" s="1" t="s">
        <v>246</v>
      </c>
      <c r="G957" s="1">
        <v>64</v>
      </c>
    </row>
    <row r="958" spans="4:7" x14ac:dyDescent="0.3">
      <c r="D958" s="1">
        <v>1996</v>
      </c>
      <c r="E958" s="1">
        <v>3</v>
      </c>
      <c r="F958" s="1" t="s">
        <v>238</v>
      </c>
      <c r="G958" s="1">
        <v>63</v>
      </c>
    </row>
    <row r="959" spans="4:7" x14ac:dyDescent="0.3">
      <c r="D959" s="1">
        <v>1996</v>
      </c>
      <c r="E959" s="1">
        <v>3</v>
      </c>
      <c r="F959" s="1" t="s">
        <v>239</v>
      </c>
      <c r="G959" s="1">
        <v>61</v>
      </c>
    </row>
    <row r="960" spans="4:7" ht="43.2" x14ac:dyDescent="0.3">
      <c r="D960" s="1">
        <v>1996</v>
      </c>
      <c r="E960" s="1">
        <v>3</v>
      </c>
      <c r="F960" s="1" t="s">
        <v>260</v>
      </c>
      <c r="G960" s="1">
        <v>58</v>
      </c>
    </row>
    <row r="961" spans="4:7" ht="28.8" x14ac:dyDescent="0.3">
      <c r="D961" s="1">
        <v>1996</v>
      </c>
      <c r="E961" s="1">
        <v>3</v>
      </c>
      <c r="F961" s="1" t="s">
        <v>235</v>
      </c>
      <c r="G961" s="1">
        <v>55</v>
      </c>
    </row>
    <row r="962" spans="4:7" ht="72" x14ac:dyDescent="0.3">
      <c r="D962" s="1">
        <v>1996</v>
      </c>
      <c r="E962" s="1">
        <v>3</v>
      </c>
      <c r="F962" s="1" t="s">
        <v>268</v>
      </c>
      <c r="G962" s="1">
        <v>50</v>
      </c>
    </row>
    <row r="963" spans="4:7" ht="28.8" x14ac:dyDescent="0.3">
      <c r="D963" s="1">
        <v>1996</v>
      </c>
      <c r="E963" s="1">
        <v>3</v>
      </c>
      <c r="F963" s="1" t="s">
        <v>242</v>
      </c>
      <c r="G963" s="1">
        <v>50</v>
      </c>
    </row>
    <row r="964" spans="4:7" ht="28.8" x14ac:dyDescent="0.3">
      <c r="D964" s="1">
        <v>1996</v>
      </c>
      <c r="E964" s="1">
        <v>3</v>
      </c>
      <c r="F964" s="1" t="s">
        <v>228</v>
      </c>
      <c r="G964" s="1">
        <v>50</v>
      </c>
    </row>
    <row r="965" spans="4:7" ht="72" x14ac:dyDescent="0.3">
      <c r="D965" s="1">
        <v>1996</v>
      </c>
      <c r="E965" s="1">
        <v>3</v>
      </c>
      <c r="F965" s="1" t="s">
        <v>263</v>
      </c>
      <c r="G965" s="1">
        <v>49</v>
      </c>
    </row>
    <row r="966" spans="4:7" ht="28.8" x14ac:dyDescent="0.3">
      <c r="D966" s="1">
        <v>1996</v>
      </c>
      <c r="E966" s="1">
        <v>3</v>
      </c>
      <c r="F966" s="1" t="s">
        <v>224</v>
      </c>
      <c r="G966" s="1">
        <v>45</v>
      </c>
    </row>
    <row r="967" spans="4:7" ht="57.6" x14ac:dyDescent="0.3">
      <c r="D967" s="1">
        <v>1996</v>
      </c>
      <c r="E967" s="1">
        <v>3</v>
      </c>
      <c r="F967" s="1" t="s">
        <v>271</v>
      </c>
      <c r="G967" s="1">
        <v>42</v>
      </c>
    </row>
    <row r="968" spans="4:7" ht="28.8" x14ac:dyDescent="0.3">
      <c r="D968" s="1">
        <v>1996</v>
      </c>
      <c r="E968" s="1">
        <v>3</v>
      </c>
      <c r="F968" s="1" t="s">
        <v>276</v>
      </c>
      <c r="G968" s="1">
        <v>42</v>
      </c>
    </row>
    <row r="969" spans="4:7" ht="28.8" x14ac:dyDescent="0.3">
      <c r="D969" s="1">
        <v>1996</v>
      </c>
      <c r="E969" s="1">
        <v>3</v>
      </c>
      <c r="F969" s="1" t="s">
        <v>236</v>
      </c>
      <c r="G969" s="1">
        <v>40</v>
      </c>
    </row>
    <row r="970" spans="4:7" ht="43.2" x14ac:dyDescent="0.3">
      <c r="D970" s="1">
        <v>1996</v>
      </c>
      <c r="E970" s="1">
        <v>3</v>
      </c>
      <c r="F970" s="1" t="s">
        <v>218</v>
      </c>
      <c r="G970" s="1">
        <v>40</v>
      </c>
    </row>
    <row r="971" spans="4:7" ht="28.8" x14ac:dyDescent="0.3">
      <c r="D971" s="1">
        <v>1996</v>
      </c>
      <c r="E971" s="1">
        <v>3</v>
      </c>
      <c r="F971" s="1" t="s">
        <v>248</v>
      </c>
      <c r="G971" s="1">
        <v>37</v>
      </c>
    </row>
    <row r="972" spans="4:7" ht="43.2" x14ac:dyDescent="0.3">
      <c r="D972" s="1">
        <v>1996</v>
      </c>
      <c r="E972" s="1">
        <v>3</v>
      </c>
      <c r="F972" s="1" t="s">
        <v>272</v>
      </c>
      <c r="G972" s="1">
        <v>37</v>
      </c>
    </row>
    <row r="973" spans="4:7" ht="43.2" x14ac:dyDescent="0.3">
      <c r="D973" s="1">
        <v>1996</v>
      </c>
      <c r="E973" s="1">
        <v>3</v>
      </c>
      <c r="F973" s="1" t="s">
        <v>221</v>
      </c>
      <c r="G973" s="1">
        <v>37</v>
      </c>
    </row>
    <row r="974" spans="4:7" ht="57.6" x14ac:dyDescent="0.3">
      <c r="D974" s="1">
        <v>1996</v>
      </c>
      <c r="E974" s="1">
        <v>3</v>
      </c>
      <c r="F974" s="1" t="s">
        <v>230</v>
      </c>
      <c r="G974" s="1">
        <v>35</v>
      </c>
    </row>
    <row r="975" spans="4:7" ht="28.8" x14ac:dyDescent="0.3">
      <c r="D975" s="1">
        <v>1996</v>
      </c>
      <c r="E975" s="1">
        <v>3</v>
      </c>
      <c r="F975" s="1" t="s">
        <v>243</v>
      </c>
      <c r="G975" s="1">
        <v>35</v>
      </c>
    </row>
    <row r="976" spans="4:7" ht="72" x14ac:dyDescent="0.3">
      <c r="D976" s="1">
        <v>1996</v>
      </c>
      <c r="E976" s="1">
        <v>3</v>
      </c>
      <c r="F976" s="1" t="s">
        <v>231</v>
      </c>
      <c r="G976" s="1">
        <v>32</v>
      </c>
    </row>
    <row r="977" spans="4:7" ht="43.2" x14ac:dyDescent="0.3">
      <c r="D977" s="1">
        <v>1996</v>
      </c>
      <c r="E977" s="1">
        <v>3</v>
      </c>
      <c r="F977" s="1" t="s">
        <v>289</v>
      </c>
      <c r="G977" s="1">
        <v>30</v>
      </c>
    </row>
    <row r="978" spans="4:7" ht="57.6" x14ac:dyDescent="0.3">
      <c r="D978" s="1">
        <v>1996</v>
      </c>
      <c r="E978" s="1">
        <v>3</v>
      </c>
      <c r="F978" s="1" t="s">
        <v>251</v>
      </c>
      <c r="G978" s="1">
        <v>30</v>
      </c>
    </row>
    <row r="979" spans="4:7" ht="72" x14ac:dyDescent="0.3">
      <c r="D979" s="1">
        <v>1996</v>
      </c>
      <c r="E979" s="1">
        <v>3</v>
      </c>
      <c r="F979" s="1" t="s">
        <v>259</v>
      </c>
      <c r="G979" s="1">
        <v>30</v>
      </c>
    </row>
    <row r="980" spans="4:7" ht="57.6" x14ac:dyDescent="0.3">
      <c r="D980" s="1">
        <v>1996</v>
      </c>
      <c r="E980" s="1">
        <v>3</v>
      </c>
      <c r="F980" s="1" t="s">
        <v>261</v>
      </c>
      <c r="G980" s="1">
        <v>25</v>
      </c>
    </row>
    <row r="981" spans="4:7" x14ac:dyDescent="0.3">
      <c r="D981" s="1">
        <v>1996</v>
      </c>
      <c r="E981" s="1">
        <v>3</v>
      </c>
      <c r="F981" s="1" t="s">
        <v>285</v>
      </c>
      <c r="G981" s="1">
        <v>22</v>
      </c>
    </row>
    <row r="982" spans="4:7" ht="28.8" x14ac:dyDescent="0.3">
      <c r="D982" s="1">
        <v>1996</v>
      </c>
      <c r="E982" s="1">
        <v>3</v>
      </c>
      <c r="F982" s="1" t="s">
        <v>280</v>
      </c>
      <c r="G982" s="1">
        <v>21</v>
      </c>
    </row>
    <row r="983" spans="4:7" x14ac:dyDescent="0.3">
      <c r="D983" s="1">
        <v>1996</v>
      </c>
      <c r="E983" s="1">
        <v>3</v>
      </c>
      <c r="F983" s="1" t="s">
        <v>273</v>
      </c>
      <c r="G983" s="1">
        <v>21</v>
      </c>
    </row>
    <row r="984" spans="4:7" ht="43.2" x14ac:dyDescent="0.3">
      <c r="D984" s="1">
        <v>1996</v>
      </c>
      <c r="E984" s="1">
        <v>3</v>
      </c>
      <c r="F984" s="1" t="s">
        <v>233</v>
      </c>
      <c r="G984" s="1">
        <v>20</v>
      </c>
    </row>
    <row r="985" spans="4:7" ht="57.6" x14ac:dyDescent="0.3">
      <c r="D985" s="1">
        <v>1996</v>
      </c>
      <c r="E985" s="1">
        <v>3</v>
      </c>
      <c r="F985" s="1" t="s">
        <v>229</v>
      </c>
      <c r="G985" s="1">
        <v>20</v>
      </c>
    </row>
    <row r="986" spans="4:7" x14ac:dyDescent="0.3">
      <c r="D986" s="1">
        <v>1996</v>
      </c>
      <c r="E986" s="1">
        <v>3</v>
      </c>
      <c r="F986" s="1" t="s">
        <v>247</v>
      </c>
      <c r="G986" s="1">
        <v>20</v>
      </c>
    </row>
    <row r="987" spans="4:7" ht="28.8" x14ac:dyDescent="0.3">
      <c r="D987" s="1">
        <v>1996</v>
      </c>
      <c r="E987" s="1">
        <v>3</v>
      </c>
      <c r="F987" s="1" t="s">
        <v>267</v>
      </c>
      <c r="G987" s="1">
        <v>20</v>
      </c>
    </row>
    <row r="988" spans="4:7" ht="28.8" x14ac:dyDescent="0.3">
      <c r="D988" s="1">
        <v>1996</v>
      </c>
      <c r="E988" s="1">
        <v>3</v>
      </c>
      <c r="F988" s="1" t="s">
        <v>279</v>
      </c>
      <c r="G988" s="1">
        <v>15</v>
      </c>
    </row>
    <row r="989" spans="4:7" ht="28.8" x14ac:dyDescent="0.3">
      <c r="D989" s="1">
        <v>1996</v>
      </c>
      <c r="E989" s="1">
        <v>3</v>
      </c>
      <c r="F989" s="1" t="s">
        <v>241</v>
      </c>
      <c r="G989" s="1">
        <v>10</v>
      </c>
    </row>
    <row r="990" spans="4:7" ht="28.8" x14ac:dyDescent="0.3">
      <c r="D990" s="1">
        <v>1996</v>
      </c>
      <c r="E990" s="1">
        <v>3</v>
      </c>
      <c r="F990" s="1" t="s">
        <v>281</v>
      </c>
      <c r="G990" s="1">
        <v>10</v>
      </c>
    </row>
    <row r="991" spans="4:7" ht="28.8" x14ac:dyDescent="0.3">
      <c r="D991" s="1">
        <v>1996</v>
      </c>
      <c r="E991" s="1">
        <v>3</v>
      </c>
      <c r="F991" s="1" t="s">
        <v>270</v>
      </c>
      <c r="G991" s="1">
        <v>10</v>
      </c>
    </row>
    <row r="992" spans="4:7" ht="43.2" x14ac:dyDescent="0.3">
      <c r="D992" s="1">
        <v>1996</v>
      </c>
      <c r="E992" s="1">
        <v>3</v>
      </c>
      <c r="F992" s="1" t="s">
        <v>262</v>
      </c>
      <c r="G992" s="1">
        <v>6</v>
      </c>
    </row>
    <row r="993" spans="4:7" ht="57.6" x14ac:dyDescent="0.3">
      <c r="D993" s="1">
        <v>1996</v>
      </c>
      <c r="E993" s="1">
        <v>3</v>
      </c>
      <c r="F993" s="1" t="s">
        <v>282</v>
      </c>
      <c r="G993" s="1">
        <v>5</v>
      </c>
    </row>
    <row r="994" spans="4:7" ht="28.8" x14ac:dyDescent="0.3">
      <c r="D994" s="1">
        <v>1996</v>
      </c>
      <c r="E994" s="1">
        <v>3</v>
      </c>
      <c r="F994" s="1" t="s">
        <v>234</v>
      </c>
      <c r="G994" s="1">
        <v>3</v>
      </c>
    </row>
    <row r="995" spans="4:7" ht="43.2" x14ac:dyDescent="0.3">
      <c r="D995" s="1">
        <v>1996</v>
      </c>
      <c r="E995" s="1">
        <v>3</v>
      </c>
      <c r="F995" s="1" t="s">
        <v>225</v>
      </c>
      <c r="G995" s="1">
        <v>3</v>
      </c>
    </row>
    <row r="996" spans="4:7" ht="43.2" x14ac:dyDescent="0.3">
      <c r="D996" s="1">
        <v>1996</v>
      </c>
      <c r="E996" s="1">
        <v>3</v>
      </c>
      <c r="F996" s="1" t="s">
        <v>222</v>
      </c>
      <c r="G996" s="1">
        <v>2</v>
      </c>
    </row>
    <row r="997" spans="4:7" x14ac:dyDescent="0.3">
      <c r="D997" s="1">
        <v>1996</v>
      </c>
      <c r="E997" s="1">
        <v>4</v>
      </c>
      <c r="F997" s="1" t="s">
        <v>275</v>
      </c>
      <c r="G997" s="1">
        <v>288</v>
      </c>
    </row>
    <row r="998" spans="4:7" ht="57.6" x14ac:dyDescent="0.3">
      <c r="D998" s="1">
        <v>1996</v>
      </c>
      <c r="E998" s="1">
        <v>4</v>
      </c>
      <c r="F998" s="1" t="s">
        <v>265</v>
      </c>
      <c r="G998" s="1">
        <v>217</v>
      </c>
    </row>
    <row r="999" spans="4:7" ht="72" x14ac:dyDescent="0.3">
      <c r="D999" s="1">
        <v>1996</v>
      </c>
      <c r="E999" s="1">
        <v>4</v>
      </c>
      <c r="F999" s="1" t="s">
        <v>231</v>
      </c>
      <c r="G999" s="1">
        <v>217</v>
      </c>
    </row>
    <row r="1000" spans="4:7" ht="43.2" x14ac:dyDescent="0.3">
      <c r="D1000" s="1">
        <v>1996</v>
      </c>
      <c r="E1000" s="1">
        <v>4</v>
      </c>
      <c r="F1000" s="1" t="s">
        <v>278</v>
      </c>
      <c r="G1000" s="1">
        <v>200</v>
      </c>
    </row>
    <row r="1001" spans="4:7" x14ac:dyDescent="0.3">
      <c r="D1001" s="1">
        <v>1996</v>
      </c>
      <c r="E1001" s="1">
        <v>4</v>
      </c>
      <c r="F1001" s="1" t="s">
        <v>238</v>
      </c>
      <c r="G1001" s="1">
        <v>173</v>
      </c>
    </row>
    <row r="1002" spans="4:7" ht="28.8" x14ac:dyDescent="0.3">
      <c r="D1002" s="1">
        <v>1996</v>
      </c>
      <c r="E1002" s="1">
        <v>4</v>
      </c>
      <c r="F1002" s="1" t="s">
        <v>220</v>
      </c>
      <c r="G1002" s="1">
        <v>156</v>
      </c>
    </row>
    <row r="1003" spans="4:7" ht="28.8" x14ac:dyDescent="0.3">
      <c r="D1003" s="1">
        <v>1996</v>
      </c>
      <c r="E1003" s="1">
        <v>4</v>
      </c>
      <c r="F1003" s="1" t="s">
        <v>243</v>
      </c>
      <c r="G1003" s="1">
        <v>153</v>
      </c>
    </row>
    <row r="1004" spans="4:7" ht="43.2" x14ac:dyDescent="0.3">
      <c r="D1004" s="1">
        <v>1996</v>
      </c>
      <c r="E1004" s="1">
        <v>4</v>
      </c>
      <c r="F1004" s="1" t="s">
        <v>257</v>
      </c>
      <c r="G1004" s="1">
        <v>148</v>
      </c>
    </row>
    <row r="1005" spans="4:7" ht="28.8" x14ac:dyDescent="0.3">
      <c r="D1005" s="1">
        <v>1996</v>
      </c>
      <c r="E1005" s="1">
        <v>4</v>
      </c>
      <c r="F1005" s="1" t="s">
        <v>241</v>
      </c>
      <c r="G1005" s="1">
        <v>139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44EC9-0656-4D4E-B3C9-4E841AFB1337}">
  <dimension ref="D3:O83"/>
  <sheetViews>
    <sheetView workbookViewId="0">
      <selection activeCell="AE8" sqref="AE8"/>
    </sheetView>
  </sheetViews>
  <sheetFormatPr defaultRowHeight="14.4" x14ac:dyDescent="0.3"/>
  <cols>
    <col min="4" max="4" width="12.44140625" bestFit="1" customWidth="1"/>
    <col min="5" max="5" width="7.6640625" bestFit="1" customWidth="1"/>
    <col min="6" max="6" width="11.33203125" bestFit="1" customWidth="1"/>
    <col min="7" max="7" width="8.44140625" bestFit="1" customWidth="1"/>
    <col min="13" max="13" width="31.109375" bestFit="1" customWidth="1"/>
    <col min="14" max="14" width="14.88671875" bestFit="1" customWidth="1"/>
    <col min="15" max="15" width="18.77734375" bestFit="1" customWidth="1"/>
    <col min="16" max="16" width="10" bestFit="1" customWidth="1"/>
    <col min="17" max="17" width="18.77734375" bestFit="1" customWidth="1"/>
    <col min="18" max="18" width="12.33203125" bestFit="1" customWidth="1"/>
    <col min="19" max="19" width="10" bestFit="1" customWidth="1"/>
    <col min="20" max="20" width="19.6640625" bestFit="1" customWidth="1"/>
    <col min="21" max="21" width="23.5546875" bestFit="1" customWidth="1"/>
  </cols>
  <sheetData>
    <row r="3" spans="4:15" x14ac:dyDescent="0.3">
      <c r="D3" t="s">
        <v>112</v>
      </c>
      <c r="M3" s="5" t="s">
        <v>346</v>
      </c>
      <c r="N3" t="s">
        <v>308</v>
      </c>
    </row>
    <row r="4" spans="4:15" x14ac:dyDescent="0.3">
      <c r="D4" t="s">
        <v>339</v>
      </c>
      <c r="E4" t="s">
        <v>344</v>
      </c>
      <c r="F4" t="s">
        <v>345</v>
      </c>
      <c r="G4" t="s">
        <v>346</v>
      </c>
    </row>
    <row r="5" spans="4:15" ht="28.8" x14ac:dyDescent="0.3">
      <c r="D5" s="1" t="s">
        <v>216</v>
      </c>
      <c r="E5" s="1">
        <v>149984.20000000001</v>
      </c>
      <c r="F5" s="1">
        <v>17590.37</v>
      </c>
      <c r="G5" s="1" t="s">
        <v>341</v>
      </c>
      <c r="M5" s="5" t="s">
        <v>11</v>
      </c>
      <c r="N5" t="s">
        <v>347</v>
      </c>
      <c r="O5" t="s">
        <v>348</v>
      </c>
    </row>
    <row r="6" spans="4:15" ht="57.6" x14ac:dyDescent="0.3">
      <c r="D6" s="1" t="s">
        <v>217</v>
      </c>
      <c r="E6" s="1">
        <v>87736.4</v>
      </c>
      <c r="F6" s="1">
        <v>17590.37</v>
      </c>
      <c r="G6" s="1" t="s">
        <v>341</v>
      </c>
      <c r="M6" s="6" t="s">
        <v>223</v>
      </c>
      <c r="N6" s="7">
        <v>35482.199999999997</v>
      </c>
      <c r="O6" s="7">
        <v>17590.37</v>
      </c>
    </row>
    <row r="7" spans="4:15" ht="43.2" x14ac:dyDescent="0.3">
      <c r="D7" s="1" t="s">
        <v>218</v>
      </c>
      <c r="E7" s="1">
        <v>76296</v>
      </c>
      <c r="F7" s="1">
        <v>17590.37</v>
      </c>
      <c r="G7" s="1" t="s">
        <v>341</v>
      </c>
      <c r="M7" s="6" t="s">
        <v>286</v>
      </c>
      <c r="N7" s="7">
        <v>3080</v>
      </c>
      <c r="O7" s="7">
        <v>17590.37</v>
      </c>
    </row>
    <row r="8" spans="4:15" ht="43.2" x14ac:dyDescent="0.3">
      <c r="D8" s="1" t="s">
        <v>219</v>
      </c>
      <c r="E8" s="1">
        <v>50286</v>
      </c>
      <c r="F8" s="1">
        <v>17590.37</v>
      </c>
      <c r="G8" s="1" t="s">
        <v>341</v>
      </c>
      <c r="M8" s="6" t="s">
        <v>237</v>
      </c>
      <c r="N8" s="7">
        <v>19048.3</v>
      </c>
      <c r="O8" s="7">
        <v>17590.37</v>
      </c>
    </row>
    <row r="9" spans="4:15" ht="28.8" x14ac:dyDescent="0.3">
      <c r="D9" s="1" t="s">
        <v>220</v>
      </c>
      <c r="E9" s="1">
        <v>49827.9</v>
      </c>
      <c r="F9" s="1">
        <v>17590.37</v>
      </c>
      <c r="G9" s="1" t="s">
        <v>341</v>
      </c>
      <c r="M9" s="6" t="s">
        <v>216</v>
      </c>
      <c r="N9" s="7">
        <v>149984.20000000001</v>
      </c>
      <c r="O9" s="7">
        <v>17590.37</v>
      </c>
    </row>
    <row r="10" spans="4:15" ht="43.2" x14ac:dyDescent="0.3">
      <c r="D10" s="1" t="s">
        <v>221</v>
      </c>
      <c r="E10" s="1">
        <v>45121.2</v>
      </c>
      <c r="F10" s="1">
        <v>17590.37</v>
      </c>
      <c r="G10" s="1" t="s">
        <v>341</v>
      </c>
      <c r="M10" s="6" t="s">
        <v>219</v>
      </c>
      <c r="N10" s="7">
        <v>50286</v>
      </c>
      <c r="O10" s="7">
        <v>17590.37</v>
      </c>
    </row>
    <row r="11" spans="4:15" ht="43.2" x14ac:dyDescent="0.3">
      <c r="D11" s="1" t="s">
        <v>222</v>
      </c>
      <c r="E11" s="1">
        <v>44742.6</v>
      </c>
      <c r="F11" s="1">
        <v>17590.37</v>
      </c>
      <c r="G11" s="1" t="s">
        <v>341</v>
      </c>
      <c r="M11" s="6" t="s">
        <v>224</v>
      </c>
      <c r="N11" s="7">
        <v>31987.5</v>
      </c>
      <c r="O11" s="7">
        <v>17590.37</v>
      </c>
    </row>
    <row r="12" spans="4:15" ht="28.8" x14ac:dyDescent="0.3">
      <c r="D12" s="1" t="s">
        <v>223</v>
      </c>
      <c r="E12" s="1">
        <v>35482.199999999997</v>
      </c>
      <c r="F12" s="1">
        <v>17590.37</v>
      </c>
      <c r="G12" s="1" t="s">
        <v>341</v>
      </c>
      <c r="M12" s="6" t="s">
        <v>249</v>
      </c>
      <c r="N12" s="7">
        <v>14277.6</v>
      </c>
      <c r="O12" s="7">
        <v>17590.37</v>
      </c>
    </row>
    <row r="13" spans="4:15" ht="28.8" x14ac:dyDescent="0.3">
      <c r="D13" s="1" t="s">
        <v>224</v>
      </c>
      <c r="E13" s="1">
        <v>31987.5</v>
      </c>
      <c r="F13" s="1">
        <v>17590.37</v>
      </c>
      <c r="G13" s="1" t="s">
        <v>342</v>
      </c>
      <c r="M13" s="6" t="s">
        <v>239</v>
      </c>
      <c r="N13" s="7">
        <v>18559.2</v>
      </c>
      <c r="O13" s="7">
        <v>17590.37</v>
      </c>
    </row>
    <row r="14" spans="4:15" ht="43.2" x14ac:dyDescent="0.3">
      <c r="D14" s="1" t="s">
        <v>225</v>
      </c>
      <c r="E14" s="1">
        <v>26865.599999999999</v>
      </c>
      <c r="F14" s="1">
        <v>17590.37</v>
      </c>
      <c r="G14" s="1" t="s">
        <v>342</v>
      </c>
      <c r="M14" s="6" t="s">
        <v>252</v>
      </c>
      <c r="N14" s="7">
        <v>13150.8</v>
      </c>
      <c r="O14" s="7">
        <v>17590.37</v>
      </c>
    </row>
    <row r="15" spans="4:15" ht="43.2" x14ac:dyDescent="0.3">
      <c r="D15" s="1" t="s">
        <v>226</v>
      </c>
      <c r="E15" s="1">
        <v>25738.799999999999</v>
      </c>
      <c r="F15" s="1">
        <v>17590.37</v>
      </c>
      <c r="G15" s="1" t="s">
        <v>342</v>
      </c>
      <c r="M15" s="6" t="s">
        <v>259</v>
      </c>
      <c r="N15" s="7">
        <v>9424.7999999999993</v>
      </c>
      <c r="O15" s="7">
        <v>17590.37</v>
      </c>
    </row>
    <row r="16" spans="4:15" ht="28.8" x14ac:dyDescent="0.3">
      <c r="D16" s="1" t="s">
        <v>227</v>
      </c>
      <c r="E16" s="1">
        <v>25079.200000000001</v>
      </c>
      <c r="F16" s="1">
        <v>17590.37</v>
      </c>
      <c r="G16" s="1" t="s">
        <v>342</v>
      </c>
      <c r="M16" s="6" t="s">
        <v>274</v>
      </c>
      <c r="N16" s="7">
        <v>5801.15</v>
      </c>
      <c r="O16" s="7">
        <v>17590.37</v>
      </c>
    </row>
    <row r="17" spans="4:15" ht="28.8" x14ac:dyDescent="0.3">
      <c r="D17" s="1" t="s">
        <v>228</v>
      </c>
      <c r="E17" s="1">
        <v>24307.200000000001</v>
      </c>
      <c r="F17" s="1">
        <v>17590.37</v>
      </c>
      <c r="G17" s="1" t="s">
        <v>342</v>
      </c>
      <c r="M17" s="6" t="s">
        <v>292</v>
      </c>
      <c r="N17" s="7">
        <v>1542.75</v>
      </c>
      <c r="O17" s="7">
        <v>17590.37</v>
      </c>
    </row>
    <row r="18" spans="4:15" ht="57.6" x14ac:dyDescent="0.3">
      <c r="D18" s="1" t="s">
        <v>229</v>
      </c>
      <c r="E18" s="1">
        <v>23635.8</v>
      </c>
      <c r="F18" s="1">
        <v>17590.37</v>
      </c>
      <c r="G18" s="1" t="s">
        <v>342</v>
      </c>
      <c r="M18" s="6" t="s">
        <v>271</v>
      </c>
      <c r="N18" s="7">
        <v>6664.75</v>
      </c>
      <c r="O18" s="7">
        <v>17590.37</v>
      </c>
    </row>
    <row r="19" spans="4:15" ht="57.6" x14ac:dyDescent="0.3">
      <c r="D19" s="1" t="s">
        <v>230</v>
      </c>
      <c r="E19" s="1">
        <v>23009</v>
      </c>
      <c r="F19" s="1">
        <v>17590.37</v>
      </c>
      <c r="G19" s="1" t="s">
        <v>342</v>
      </c>
      <c r="M19" s="6" t="s">
        <v>285</v>
      </c>
      <c r="N19" s="7">
        <v>3383.8</v>
      </c>
      <c r="O19" s="7">
        <v>17590.37</v>
      </c>
    </row>
    <row r="20" spans="4:15" ht="72" x14ac:dyDescent="0.3">
      <c r="D20" s="1" t="s">
        <v>231</v>
      </c>
      <c r="E20" s="1">
        <v>22464</v>
      </c>
      <c r="F20" s="1">
        <v>17590.37</v>
      </c>
      <c r="G20" s="1" t="s">
        <v>342</v>
      </c>
      <c r="M20" s="6" t="s">
        <v>235</v>
      </c>
      <c r="N20" s="7">
        <v>20876.5</v>
      </c>
      <c r="O20" s="7">
        <v>17590.37</v>
      </c>
    </row>
    <row r="21" spans="4:15" x14ac:dyDescent="0.3">
      <c r="D21" s="1" t="s">
        <v>232</v>
      </c>
      <c r="E21" s="1">
        <v>22140.2</v>
      </c>
      <c r="F21" s="1">
        <v>17590.37</v>
      </c>
      <c r="G21" s="1" t="s">
        <v>342</v>
      </c>
      <c r="M21" s="6" t="s">
        <v>291</v>
      </c>
      <c r="N21" s="7">
        <v>1713.5</v>
      </c>
      <c r="O21" s="7">
        <v>17590.37</v>
      </c>
    </row>
    <row r="22" spans="4:15" ht="43.2" x14ac:dyDescent="0.3">
      <c r="D22" s="1" t="s">
        <v>233</v>
      </c>
      <c r="E22" s="1">
        <v>21534.9</v>
      </c>
      <c r="F22" s="1">
        <v>17590.37</v>
      </c>
      <c r="G22" s="1" t="s">
        <v>342</v>
      </c>
      <c r="M22" s="6" t="s">
        <v>290</v>
      </c>
      <c r="N22" s="7">
        <v>1813.5</v>
      </c>
      <c r="O22" s="7">
        <v>17590.37</v>
      </c>
    </row>
    <row r="23" spans="4:15" ht="28.8" x14ac:dyDescent="0.3">
      <c r="D23" s="1" t="s">
        <v>234</v>
      </c>
      <c r="E23" s="1">
        <v>21510.2</v>
      </c>
      <c r="F23" s="1">
        <v>17590.37</v>
      </c>
      <c r="G23" s="1" t="s">
        <v>342</v>
      </c>
      <c r="M23" s="6" t="s">
        <v>221</v>
      </c>
      <c r="N23" s="7">
        <v>45121.2</v>
      </c>
      <c r="O23" s="7">
        <v>17590.37</v>
      </c>
    </row>
    <row r="24" spans="4:15" ht="28.8" x14ac:dyDescent="0.3">
      <c r="D24" s="1" t="s">
        <v>235</v>
      </c>
      <c r="E24" s="1">
        <v>20876.5</v>
      </c>
      <c r="F24" s="1">
        <v>17590.37</v>
      </c>
      <c r="G24" s="1" t="s">
        <v>342</v>
      </c>
      <c r="M24" s="6" t="s">
        <v>243</v>
      </c>
      <c r="N24" s="7">
        <v>16172.5</v>
      </c>
      <c r="O24" s="7">
        <v>17590.37</v>
      </c>
    </row>
    <row r="25" spans="4:15" ht="28.8" x14ac:dyDescent="0.3">
      <c r="D25" s="1" t="s">
        <v>236</v>
      </c>
      <c r="E25" s="1">
        <v>19512</v>
      </c>
      <c r="F25" s="1">
        <v>17590.37</v>
      </c>
      <c r="G25" s="1" t="s">
        <v>342</v>
      </c>
      <c r="M25" s="6" t="s">
        <v>268</v>
      </c>
      <c r="N25" s="7">
        <v>7345</v>
      </c>
      <c r="O25" s="7">
        <v>17590.37</v>
      </c>
    </row>
    <row r="26" spans="4:15" ht="43.2" x14ac:dyDescent="0.3">
      <c r="D26" s="1" t="s">
        <v>237</v>
      </c>
      <c r="E26" s="1">
        <v>19048.3</v>
      </c>
      <c r="F26" s="1">
        <v>17590.37</v>
      </c>
      <c r="G26" s="1" t="s">
        <v>342</v>
      </c>
      <c r="M26" s="6" t="s">
        <v>287</v>
      </c>
      <c r="N26" s="7">
        <v>3047.2</v>
      </c>
      <c r="O26" s="7">
        <v>17590.37</v>
      </c>
    </row>
    <row r="27" spans="4:15" x14ac:dyDescent="0.3">
      <c r="D27" s="1" t="s">
        <v>238</v>
      </c>
      <c r="E27" s="1">
        <v>18748.05</v>
      </c>
      <c r="F27" s="1">
        <v>17590.37</v>
      </c>
      <c r="G27" s="1" t="s">
        <v>342</v>
      </c>
      <c r="M27" s="6" t="s">
        <v>278</v>
      </c>
      <c r="N27" s="7">
        <v>4782.6000000000004</v>
      </c>
      <c r="O27" s="7">
        <v>17590.37</v>
      </c>
    </row>
    <row r="28" spans="4:15" x14ac:dyDescent="0.3">
      <c r="D28" s="1" t="s">
        <v>239</v>
      </c>
      <c r="E28" s="1">
        <v>18559.2</v>
      </c>
      <c r="F28" s="1">
        <v>17590.37</v>
      </c>
      <c r="G28" s="1" t="s">
        <v>342</v>
      </c>
      <c r="M28" s="6" t="s">
        <v>228</v>
      </c>
      <c r="N28" s="7">
        <v>24307.200000000001</v>
      </c>
      <c r="O28" s="7">
        <v>17590.37</v>
      </c>
    </row>
    <row r="29" spans="4:15" ht="28.8" x14ac:dyDescent="0.3">
      <c r="D29" s="1" t="s">
        <v>240</v>
      </c>
      <c r="E29" s="1">
        <v>17696.3</v>
      </c>
      <c r="F29" s="1">
        <v>17590.37</v>
      </c>
      <c r="G29" s="1" t="s">
        <v>342</v>
      </c>
      <c r="M29" s="6" t="s">
        <v>255</v>
      </c>
      <c r="N29" s="7">
        <v>10524.2</v>
      </c>
      <c r="O29" s="7">
        <v>17590.37</v>
      </c>
    </row>
    <row r="30" spans="4:15" ht="28.8" x14ac:dyDescent="0.3">
      <c r="D30" s="1" t="s">
        <v>241</v>
      </c>
      <c r="E30" s="1">
        <v>16794</v>
      </c>
      <c r="F30" s="1">
        <v>17590.37</v>
      </c>
      <c r="G30" s="1" t="s">
        <v>342</v>
      </c>
      <c r="M30" s="6" t="s">
        <v>233</v>
      </c>
      <c r="N30" s="7">
        <v>21534.9</v>
      </c>
      <c r="O30" s="7">
        <v>17590.37</v>
      </c>
    </row>
    <row r="31" spans="4:15" ht="28.8" x14ac:dyDescent="0.3">
      <c r="D31" s="1" t="s">
        <v>242</v>
      </c>
      <c r="E31" s="1">
        <v>16438.8</v>
      </c>
      <c r="F31" s="1">
        <v>17590.37</v>
      </c>
      <c r="G31" s="1" t="s">
        <v>342</v>
      </c>
      <c r="M31" s="6" t="s">
        <v>269</v>
      </c>
      <c r="N31" s="7">
        <v>7232.4</v>
      </c>
      <c r="O31" s="7">
        <v>17590.37</v>
      </c>
    </row>
    <row r="32" spans="4:15" ht="28.8" x14ac:dyDescent="0.3">
      <c r="D32" s="1" t="s">
        <v>243</v>
      </c>
      <c r="E32" s="1">
        <v>16172.5</v>
      </c>
      <c r="F32" s="1">
        <v>17590.37</v>
      </c>
      <c r="G32" s="1" t="s">
        <v>342</v>
      </c>
      <c r="M32" s="6" t="s">
        <v>232</v>
      </c>
      <c r="N32" s="7">
        <v>22140.2</v>
      </c>
      <c r="O32" s="7">
        <v>17590.37</v>
      </c>
    </row>
    <row r="33" spans="4:15" ht="43.2" x14ac:dyDescent="0.3">
      <c r="D33" s="1" t="s">
        <v>244</v>
      </c>
      <c r="E33" s="1">
        <v>15231.5</v>
      </c>
      <c r="F33" s="1">
        <v>17590.37</v>
      </c>
      <c r="G33" s="1" t="s">
        <v>342</v>
      </c>
      <c r="M33" s="6" t="s">
        <v>247</v>
      </c>
      <c r="N33" s="7">
        <v>14542.6</v>
      </c>
      <c r="O33" s="7">
        <v>17590.37</v>
      </c>
    </row>
    <row r="34" spans="4:15" ht="43.2" x14ac:dyDescent="0.3">
      <c r="D34" s="1" t="s">
        <v>245</v>
      </c>
      <c r="E34" s="1">
        <v>14775.54</v>
      </c>
      <c r="F34" s="1">
        <v>17590.37</v>
      </c>
      <c r="G34" s="1" t="s">
        <v>342</v>
      </c>
      <c r="M34" s="6" t="s">
        <v>227</v>
      </c>
      <c r="N34" s="7">
        <v>25079.200000000001</v>
      </c>
      <c r="O34" s="7">
        <v>17590.37</v>
      </c>
    </row>
    <row r="35" spans="4:15" ht="57.6" x14ac:dyDescent="0.3">
      <c r="D35" s="1" t="s">
        <v>246</v>
      </c>
      <c r="E35" s="1">
        <v>14607</v>
      </c>
      <c r="F35" s="1">
        <v>17590.37</v>
      </c>
      <c r="G35" s="1" t="s">
        <v>342</v>
      </c>
      <c r="M35" s="6" t="s">
        <v>263</v>
      </c>
      <c r="N35" s="7">
        <v>9098.1</v>
      </c>
      <c r="O35" s="7">
        <v>17590.37</v>
      </c>
    </row>
    <row r="36" spans="4:15" x14ac:dyDescent="0.3">
      <c r="D36" s="1" t="s">
        <v>247</v>
      </c>
      <c r="E36" s="1">
        <v>14542.6</v>
      </c>
      <c r="F36" s="1">
        <v>17590.37</v>
      </c>
      <c r="G36" s="1" t="s">
        <v>342</v>
      </c>
      <c r="M36" s="6" t="s">
        <v>275</v>
      </c>
      <c r="N36" s="7">
        <v>5234.3999999999996</v>
      </c>
      <c r="O36" s="7">
        <v>17590.37</v>
      </c>
    </row>
    <row r="37" spans="4:15" ht="28.8" x14ac:dyDescent="0.3">
      <c r="D37" s="1" t="s">
        <v>248</v>
      </c>
      <c r="E37" s="1">
        <v>14536.8</v>
      </c>
      <c r="F37" s="1">
        <v>17590.37</v>
      </c>
      <c r="G37" s="1" t="s">
        <v>342</v>
      </c>
      <c r="M37" s="6" t="s">
        <v>241</v>
      </c>
      <c r="N37" s="7">
        <v>16794</v>
      </c>
      <c r="O37" s="7">
        <v>17590.37</v>
      </c>
    </row>
    <row r="38" spans="4:15" x14ac:dyDescent="0.3">
      <c r="D38" s="1" t="s">
        <v>249</v>
      </c>
      <c r="E38" s="1">
        <v>14277.6</v>
      </c>
      <c r="F38" s="1">
        <v>17590.37</v>
      </c>
      <c r="G38" s="1" t="s">
        <v>342</v>
      </c>
      <c r="M38" s="6" t="s">
        <v>289</v>
      </c>
      <c r="N38" s="7">
        <v>2562</v>
      </c>
      <c r="O38" s="7">
        <v>17590.37</v>
      </c>
    </row>
    <row r="39" spans="4:15" ht="28.8" x14ac:dyDescent="0.3">
      <c r="D39" s="1" t="s">
        <v>250</v>
      </c>
      <c r="E39" s="1">
        <v>13902</v>
      </c>
      <c r="F39" s="1">
        <v>17590.37</v>
      </c>
      <c r="G39" s="1" t="s">
        <v>342</v>
      </c>
      <c r="M39" s="6" t="s">
        <v>288</v>
      </c>
      <c r="N39" s="7">
        <v>2566</v>
      </c>
      <c r="O39" s="7">
        <v>17590.37</v>
      </c>
    </row>
    <row r="40" spans="4:15" ht="57.6" x14ac:dyDescent="0.3">
      <c r="D40" s="1" t="s">
        <v>251</v>
      </c>
      <c r="E40" s="1">
        <v>13760</v>
      </c>
      <c r="F40" s="1">
        <v>17590.37</v>
      </c>
      <c r="G40" s="1" t="s">
        <v>342</v>
      </c>
      <c r="M40" s="6" t="s">
        <v>246</v>
      </c>
      <c r="N40" s="7">
        <v>14607</v>
      </c>
      <c r="O40" s="7">
        <v>17590.37</v>
      </c>
    </row>
    <row r="41" spans="4:15" ht="28.8" x14ac:dyDescent="0.3">
      <c r="D41" s="1" t="s">
        <v>252</v>
      </c>
      <c r="E41" s="1">
        <v>13150.8</v>
      </c>
      <c r="F41" s="1">
        <v>17590.37</v>
      </c>
      <c r="G41" s="1" t="s">
        <v>342</v>
      </c>
      <c r="M41" s="6" t="s">
        <v>283</v>
      </c>
      <c r="N41" s="7">
        <v>3519</v>
      </c>
      <c r="O41" s="7">
        <v>17590.37</v>
      </c>
    </row>
    <row r="42" spans="4:15" ht="57.6" x14ac:dyDescent="0.3">
      <c r="D42" s="1" t="s">
        <v>253</v>
      </c>
      <c r="E42" s="1">
        <v>12866.8</v>
      </c>
      <c r="F42" s="1">
        <v>17590.37</v>
      </c>
      <c r="G42" s="1" t="s">
        <v>342</v>
      </c>
      <c r="M42" s="6" t="s">
        <v>222</v>
      </c>
      <c r="N42" s="7">
        <v>44742.6</v>
      </c>
      <c r="O42" s="7">
        <v>17590.37</v>
      </c>
    </row>
    <row r="43" spans="4:15" ht="28.8" x14ac:dyDescent="0.3">
      <c r="D43" s="1" t="s">
        <v>254</v>
      </c>
      <c r="E43" s="1">
        <v>11472</v>
      </c>
      <c r="F43" s="1">
        <v>17590.37</v>
      </c>
      <c r="G43" s="1" t="s">
        <v>342</v>
      </c>
      <c r="M43" s="6" t="s">
        <v>262</v>
      </c>
      <c r="N43" s="7">
        <v>9171.2000000000007</v>
      </c>
      <c r="O43" s="7">
        <v>17590.37</v>
      </c>
    </row>
    <row r="44" spans="4:15" ht="28.8" x14ac:dyDescent="0.3">
      <c r="D44" s="1" t="s">
        <v>255</v>
      </c>
      <c r="E44" s="1">
        <v>10524.2</v>
      </c>
      <c r="F44" s="1">
        <v>17590.37</v>
      </c>
      <c r="G44" s="1" t="s">
        <v>342</v>
      </c>
      <c r="M44" s="6" t="s">
        <v>258</v>
      </c>
      <c r="N44" s="7">
        <v>9500</v>
      </c>
      <c r="O44" s="7">
        <v>17590.37</v>
      </c>
    </row>
    <row r="45" spans="4:15" ht="72" x14ac:dyDescent="0.3">
      <c r="D45" s="1" t="s">
        <v>256</v>
      </c>
      <c r="E45" s="1">
        <v>9685</v>
      </c>
      <c r="F45" s="1">
        <v>17590.37</v>
      </c>
      <c r="G45" s="1" t="s">
        <v>342</v>
      </c>
      <c r="M45" s="6" t="s">
        <v>264</v>
      </c>
      <c r="N45" s="7">
        <v>8827</v>
      </c>
      <c r="O45" s="7">
        <v>17590.37</v>
      </c>
    </row>
    <row r="46" spans="4:15" ht="43.2" x14ac:dyDescent="0.3">
      <c r="D46" s="1" t="s">
        <v>257</v>
      </c>
      <c r="E46" s="1">
        <v>9636</v>
      </c>
      <c r="F46" s="1">
        <v>17590.37</v>
      </c>
      <c r="G46" s="1" t="s">
        <v>342</v>
      </c>
      <c r="M46" s="6" t="s">
        <v>226</v>
      </c>
      <c r="N46" s="7">
        <v>25738.799999999999</v>
      </c>
      <c r="O46" s="7">
        <v>17590.37</v>
      </c>
    </row>
    <row r="47" spans="4:15" x14ac:dyDescent="0.3">
      <c r="D47" s="1" t="s">
        <v>258</v>
      </c>
      <c r="E47" s="1">
        <v>9500</v>
      </c>
      <c r="F47" s="1">
        <v>17590.37</v>
      </c>
      <c r="G47" s="1" t="s">
        <v>342</v>
      </c>
      <c r="M47" s="6" t="s">
        <v>245</v>
      </c>
      <c r="N47" s="7">
        <v>14775.54</v>
      </c>
      <c r="O47" s="7">
        <v>17590.37</v>
      </c>
    </row>
    <row r="48" spans="4:15" ht="72" x14ac:dyDescent="0.3">
      <c r="D48" s="1" t="s">
        <v>259</v>
      </c>
      <c r="E48" s="1">
        <v>9424.7999999999993</v>
      </c>
      <c r="F48" s="1">
        <v>17590.37</v>
      </c>
      <c r="G48" s="1" t="s">
        <v>342</v>
      </c>
      <c r="M48" s="6" t="s">
        <v>251</v>
      </c>
      <c r="N48" s="7">
        <v>13760</v>
      </c>
      <c r="O48" s="7">
        <v>17590.37</v>
      </c>
    </row>
    <row r="49" spans="4:15" ht="43.2" x14ac:dyDescent="0.3">
      <c r="D49" s="1" t="s">
        <v>260</v>
      </c>
      <c r="E49" s="1">
        <v>9362.5</v>
      </c>
      <c r="F49" s="1">
        <v>17590.37</v>
      </c>
      <c r="G49" s="1" t="s">
        <v>342</v>
      </c>
      <c r="M49" s="6" t="s">
        <v>282</v>
      </c>
      <c r="N49" s="7">
        <v>4051.6</v>
      </c>
      <c r="O49" s="7">
        <v>17590.37</v>
      </c>
    </row>
    <row r="50" spans="4:15" ht="57.6" x14ac:dyDescent="0.3">
      <c r="D50" s="1" t="s">
        <v>261</v>
      </c>
      <c r="E50" s="1">
        <v>9332.4</v>
      </c>
      <c r="F50" s="1">
        <v>17590.37</v>
      </c>
      <c r="G50" s="1" t="s">
        <v>342</v>
      </c>
      <c r="M50" s="6" t="s">
        <v>256</v>
      </c>
      <c r="N50" s="7">
        <v>9685</v>
      </c>
      <c r="O50" s="7">
        <v>17590.37</v>
      </c>
    </row>
    <row r="51" spans="4:15" ht="43.2" x14ac:dyDescent="0.3">
      <c r="D51" s="1" t="s">
        <v>262</v>
      </c>
      <c r="E51" s="1">
        <v>9171.2000000000007</v>
      </c>
      <c r="F51" s="1">
        <v>17590.37</v>
      </c>
      <c r="G51" s="1" t="s">
        <v>342</v>
      </c>
      <c r="M51" s="6" t="s">
        <v>254</v>
      </c>
      <c r="N51" s="7">
        <v>11472</v>
      </c>
      <c r="O51" s="7">
        <v>17590.37</v>
      </c>
    </row>
    <row r="52" spans="4:15" ht="72" x14ac:dyDescent="0.3">
      <c r="D52" s="1" t="s">
        <v>263</v>
      </c>
      <c r="E52" s="1">
        <v>9098.1</v>
      </c>
      <c r="F52" s="1">
        <v>17590.37</v>
      </c>
      <c r="G52" s="1" t="s">
        <v>342</v>
      </c>
      <c r="M52" s="6" t="s">
        <v>236</v>
      </c>
      <c r="N52" s="7">
        <v>19512</v>
      </c>
      <c r="O52" s="7">
        <v>17590.37</v>
      </c>
    </row>
    <row r="53" spans="4:15" ht="43.2" x14ac:dyDescent="0.3">
      <c r="D53" s="1" t="s">
        <v>264</v>
      </c>
      <c r="E53" s="1">
        <v>8827</v>
      </c>
      <c r="F53" s="1">
        <v>17590.37</v>
      </c>
      <c r="G53" s="1" t="s">
        <v>342</v>
      </c>
      <c r="M53" s="6" t="s">
        <v>238</v>
      </c>
      <c r="N53" s="7">
        <v>18748.05</v>
      </c>
      <c r="O53" s="7">
        <v>17590.37</v>
      </c>
    </row>
    <row r="54" spans="4:15" ht="57.6" x14ac:dyDescent="0.3">
      <c r="D54" s="1" t="s">
        <v>265</v>
      </c>
      <c r="E54" s="1">
        <v>8650.5499999999993</v>
      </c>
      <c r="F54" s="1">
        <v>17590.37</v>
      </c>
      <c r="G54" s="1" t="s">
        <v>343</v>
      </c>
      <c r="M54" s="6" t="s">
        <v>234</v>
      </c>
      <c r="N54" s="7">
        <v>21510.2</v>
      </c>
      <c r="O54" s="7">
        <v>17590.37</v>
      </c>
    </row>
    <row r="55" spans="4:15" ht="28.8" x14ac:dyDescent="0.3">
      <c r="D55" s="1" t="s">
        <v>266</v>
      </c>
      <c r="E55" s="1">
        <v>8630.4</v>
      </c>
      <c r="F55" s="1">
        <v>17590.37</v>
      </c>
      <c r="G55" s="1" t="s">
        <v>343</v>
      </c>
      <c r="M55" s="6" t="s">
        <v>250</v>
      </c>
      <c r="N55" s="7">
        <v>13902</v>
      </c>
      <c r="O55" s="7">
        <v>17590.37</v>
      </c>
    </row>
    <row r="56" spans="4:15" ht="28.8" x14ac:dyDescent="0.3">
      <c r="D56" s="1" t="s">
        <v>267</v>
      </c>
      <c r="E56" s="1">
        <v>7807.8</v>
      </c>
      <c r="F56" s="1">
        <v>17590.37</v>
      </c>
      <c r="G56" s="1" t="s">
        <v>343</v>
      </c>
      <c r="M56" s="6" t="s">
        <v>253</v>
      </c>
      <c r="N56" s="7">
        <v>12866.8</v>
      </c>
      <c r="O56" s="7">
        <v>17590.37</v>
      </c>
    </row>
    <row r="57" spans="4:15" ht="72" x14ac:dyDescent="0.3">
      <c r="D57" s="1" t="s">
        <v>268</v>
      </c>
      <c r="E57" s="1">
        <v>7345</v>
      </c>
      <c r="F57" s="1">
        <v>17590.37</v>
      </c>
      <c r="G57" s="1" t="s">
        <v>343</v>
      </c>
      <c r="M57" s="6" t="s">
        <v>279</v>
      </c>
      <c r="N57" s="7">
        <v>4740.5</v>
      </c>
      <c r="O57" s="7">
        <v>17590.37</v>
      </c>
    </row>
    <row r="58" spans="4:15" ht="43.2" x14ac:dyDescent="0.3">
      <c r="D58" s="1" t="s">
        <v>269</v>
      </c>
      <c r="E58" s="1">
        <v>7232.4</v>
      </c>
      <c r="F58" s="1">
        <v>17590.37</v>
      </c>
      <c r="G58" s="1" t="s">
        <v>343</v>
      </c>
      <c r="M58" s="6" t="s">
        <v>281</v>
      </c>
      <c r="N58" s="7">
        <v>4200</v>
      </c>
      <c r="O58" s="7">
        <v>17590.37</v>
      </c>
    </row>
    <row r="59" spans="4:15" ht="28.8" x14ac:dyDescent="0.3">
      <c r="D59" s="1" t="s">
        <v>270</v>
      </c>
      <c r="E59" s="1">
        <v>6678</v>
      </c>
      <c r="F59" s="1">
        <v>17590.37</v>
      </c>
      <c r="G59" s="1" t="s">
        <v>343</v>
      </c>
      <c r="M59" s="6" t="s">
        <v>225</v>
      </c>
      <c r="N59" s="7">
        <v>26865.599999999999</v>
      </c>
      <c r="O59" s="7">
        <v>17590.37</v>
      </c>
    </row>
    <row r="60" spans="4:15" ht="57.6" x14ac:dyDescent="0.3">
      <c r="D60" s="1" t="s">
        <v>271</v>
      </c>
      <c r="E60" s="1">
        <v>6664.75</v>
      </c>
      <c r="F60" s="1">
        <v>17590.37</v>
      </c>
      <c r="G60" s="1" t="s">
        <v>343</v>
      </c>
      <c r="M60" s="6" t="s">
        <v>218</v>
      </c>
      <c r="N60" s="7">
        <v>76296</v>
      </c>
      <c r="O60" s="7">
        <v>17590.37</v>
      </c>
    </row>
    <row r="61" spans="4:15" ht="43.2" x14ac:dyDescent="0.3">
      <c r="D61" s="1" t="s">
        <v>272</v>
      </c>
      <c r="E61" s="1">
        <v>6159.5</v>
      </c>
      <c r="F61" s="1">
        <v>17590.37</v>
      </c>
      <c r="G61" s="1" t="s">
        <v>343</v>
      </c>
      <c r="M61" s="6" t="s">
        <v>267</v>
      </c>
      <c r="N61" s="7">
        <v>7807.8</v>
      </c>
      <c r="O61" s="7">
        <v>17590.37</v>
      </c>
    </row>
    <row r="62" spans="4:15" ht="28.8" x14ac:dyDescent="0.3">
      <c r="D62" s="1" t="s">
        <v>273</v>
      </c>
      <c r="E62" s="1">
        <v>6144</v>
      </c>
      <c r="F62" s="1">
        <v>17590.37</v>
      </c>
      <c r="G62" s="1" t="s">
        <v>343</v>
      </c>
      <c r="M62" s="6" t="s">
        <v>265</v>
      </c>
      <c r="N62" s="7">
        <v>8650.5499999999993</v>
      </c>
      <c r="O62" s="7">
        <v>17590.37</v>
      </c>
    </row>
    <row r="63" spans="4:15" ht="57.6" x14ac:dyDescent="0.3">
      <c r="D63" s="1" t="s">
        <v>274</v>
      </c>
      <c r="E63" s="1">
        <v>5801.15</v>
      </c>
      <c r="F63" s="1">
        <v>17590.37</v>
      </c>
      <c r="G63" s="1" t="s">
        <v>343</v>
      </c>
      <c r="M63" s="6" t="s">
        <v>270</v>
      </c>
      <c r="N63" s="7">
        <v>6678</v>
      </c>
      <c r="O63" s="7">
        <v>17590.37</v>
      </c>
    </row>
    <row r="64" spans="4:15" ht="28.8" x14ac:dyDescent="0.3">
      <c r="D64" s="1" t="s">
        <v>275</v>
      </c>
      <c r="E64" s="1">
        <v>5234.3999999999996</v>
      </c>
      <c r="F64" s="1">
        <v>17590.37</v>
      </c>
      <c r="G64" s="1" t="s">
        <v>343</v>
      </c>
      <c r="M64" s="6" t="s">
        <v>244</v>
      </c>
      <c r="N64" s="7">
        <v>15231.5</v>
      </c>
      <c r="O64" s="7">
        <v>17590.37</v>
      </c>
    </row>
    <row r="65" spans="4:15" ht="28.8" x14ac:dyDescent="0.3">
      <c r="D65" s="1" t="s">
        <v>276</v>
      </c>
      <c r="E65" s="1">
        <v>5121</v>
      </c>
      <c r="F65" s="1">
        <v>17590.37</v>
      </c>
      <c r="G65" s="1" t="s">
        <v>343</v>
      </c>
      <c r="M65" s="6" t="s">
        <v>260</v>
      </c>
      <c r="N65" s="7">
        <v>9362.5</v>
      </c>
      <c r="O65" s="7">
        <v>17590.37</v>
      </c>
    </row>
    <row r="66" spans="4:15" ht="28.8" x14ac:dyDescent="0.3">
      <c r="D66" s="1" t="s">
        <v>277</v>
      </c>
      <c r="E66" s="1">
        <v>4840.2</v>
      </c>
      <c r="F66" s="1">
        <v>17590.37</v>
      </c>
      <c r="G66" s="1" t="s">
        <v>343</v>
      </c>
      <c r="M66" s="6" t="s">
        <v>261</v>
      </c>
      <c r="N66" s="7">
        <v>9332.4</v>
      </c>
      <c r="O66" s="7">
        <v>17590.37</v>
      </c>
    </row>
    <row r="67" spans="4:15" ht="43.2" x14ac:dyDescent="0.3">
      <c r="D67" s="1" t="s">
        <v>278</v>
      </c>
      <c r="E67" s="1">
        <v>4782.6000000000004</v>
      </c>
      <c r="F67" s="1">
        <v>17590.37</v>
      </c>
      <c r="G67" s="1" t="s">
        <v>343</v>
      </c>
      <c r="M67" s="6" t="s">
        <v>229</v>
      </c>
      <c r="N67" s="7">
        <v>23635.8</v>
      </c>
      <c r="O67" s="7">
        <v>17590.37</v>
      </c>
    </row>
    <row r="68" spans="4:15" ht="28.8" x14ac:dyDescent="0.3">
      <c r="D68" s="1" t="s">
        <v>279</v>
      </c>
      <c r="E68" s="1">
        <v>4740.5</v>
      </c>
      <c r="F68" s="1">
        <v>17590.37</v>
      </c>
      <c r="G68" s="1" t="s">
        <v>343</v>
      </c>
      <c r="M68" s="6" t="s">
        <v>257</v>
      </c>
      <c r="N68" s="7">
        <v>9636</v>
      </c>
      <c r="O68" s="7">
        <v>17590.37</v>
      </c>
    </row>
    <row r="69" spans="4:15" ht="28.8" x14ac:dyDescent="0.3">
      <c r="D69" s="1" t="s">
        <v>280</v>
      </c>
      <c r="E69" s="1">
        <v>4358.6000000000004</v>
      </c>
      <c r="F69" s="1">
        <v>17590.37</v>
      </c>
      <c r="G69" s="1" t="s">
        <v>343</v>
      </c>
      <c r="M69" s="6" t="s">
        <v>242</v>
      </c>
      <c r="N69" s="7">
        <v>16438.8</v>
      </c>
      <c r="O69" s="7">
        <v>17590.37</v>
      </c>
    </row>
    <row r="70" spans="4:15" ht="28.8" x14ac:dyDescent="0.3">
      <c r="D70" s="1" t="s">
        <v>281</v>
      </c>
      <c r="E70" s="1">
        <v>4200</v>
      </c>
      <c r="F70" s="1">
        <v>17590.37</v>
      </c>
      <c r="G70" s="1" t="s">
        <v>343</v>
      </c>
      <c r="M70" s="6" t="s">
        <v>273</v>
      </c>
      <c r="N70" s="7">
        <v>6144</v>
      </c>
      <c r="O70" s="7">
        <v>17590.37</v>
      </c>
    </row>
    <row r="71" spans="4:15" ht="57.6" x14ac:dyDescent="0.3">
      <c r="D71" s="1" t="s">
        <v>282</v>
      </c>
      <c r="E71" s="1">
        <v>4051.6</v>
      </c>
      <c r="F71" s="1">
        <v>17590.37</v>
      </c>
      <c r="G71" s="1" t="s">
        <v>343</v>
      </c>
      <c r="M71" s="6" t="s">
        <v>248</v>
      </c>
      <c r="N71" s="7">
        <v>14536.8</v>
      </c>
      <c r="O71" s="7">
        <v>17590.37</v>
      </c>
    </row>
    <row r="72" spans="4:15" ht="57.6" x14ac:dyDescent="0.3">
      <c r="D72" s="1" t="s">
        <v>283</v>
      </c>
      <c r="E72" s="1">
        <v>3519</v>
      </c>
      <c r="F72" s="1">
        <v>17590.37</v>
      </c>
      <c r="G72" s="1" t="s">
        <v>343</v>
      </c>
      <c r="M72" s="6" t="s">
        <v>220</v>
      </c>
      <c r="N72" s="7">
        <v>49827.9</v>
      </c>
      <c r="O72" s="7">
        <v>17590.37</v>
      </c>
    </row>
    <row r="73" spans="4:15" ht="28.8" x14ac:dyDescent="0.3">
      <c r="D73" s="1" t="s">
        <v>284</v>
      </c>
      <c r="E73" s="1">
        <v>3510</v>
      </c>
      <c r="F73" s="1">
        <v>17590.37</v>
      </c>
      <c r="G73" s="1" t="s">
        <v>343</v>
      </c>
      <c r="M73" s="6" t="s">
        <v>272</v>
      </c>
      <c r="N73" s="7">
        <v>6159.5</v>
      </c>
      <c r="O73" s="7">
        <v>17590.37</v>
      </c>
    </row>
    <row r="74" spans="4:15" ht="28.8" x14ac:dyDescent="0.3">
      <c r="D74" s="1" t="s">
        <v>285</v>
      </c>
      <c r="E74" s="1">
        <v>3383.8</v>
      </c>
      <c r="F74" s="1">
        <v>17590.37</v>
      </c>
      <c r="G74" s="1" t="s">
        <v>343</v>
      </c>
      <c r="M74" s="6" t="s">
        <v>217</v>
      </c>
      <c r="N74" s="7">
        <v>87736.4</v>
      </c>
      <c r="O74" s="7">
        <v>17590.37</v>
      </c>
    </row>
    <row r="75" spans="4:15" ht="28.8" x14ac:dyDescent="0.3">
      <c r="D75" s="1" t="s">
        <v>286</v>
      </c>
      <c r="E75" s="1">
        <v>3080</v>
      </c>
      <c r="F75" s="1">
        <v>17590.37</v>
      </c>
      <c r="G75" s="1" t="s">
        <v>343</v>
      </c>
      <c r="M75" s="6" t="s">
        <v>266</v>
      </c>
      <c r="N75" s="7">
        <v>8630.4</v>
      </c>
      <c r="O75" s="7">
        <v>17590.37</v>
      </c>
    </row>
    <row r="76" spans="4:15" ht="28.8" x14ac:dyDescent="0.3">
      <c r="D76" s="1" t="s">
        <v>287</v>
      </c>
      <c r="E76" s="1">
        <v>3047.2</v>
      </c>
      <c r="F76" s="1">
        <v>17590.37</v>
      </c>
      <c r="G76" s="1" t="s">
        <v>343</v>
      </c>
      <c r="M76" s="6" t="s">
        <v>276</v>
      </c>
      <c r="N76" s="7">
        <v>5121</v>
      </c>
      <c r="O76" s="7">
        <v>17590.37</v>
      </c>
    </row>
    <row r="77" spans="4:15" ht="28.8" x14ac:dyDescent="0.3">
      <c r="D77" s="1" t="s">
        <v>288</v>
      </c>
      <c r="E77" s="1">
        <v>2566</v>
      </c>
      <c r="F77" s="1">
        <v>17590.37</v>
      </c>
      <c r="G77" s="1" t="s">
        <v>343</v>
      </c>
      <c r="M77" s="6" t="s">
        <v>277</v>
      </c>
      <c r="N77" s="7">
        <v>4840.2</v>
      </c>
      <c r="O77" s="7">
        <v>17590.37</v>
      </c>
    </row>
    <row r="78" spans="4:15" ht="43.2" x14ac:dyDescent="0.3">
      <c r="D78" s="1" t="s">
        <v>289</v>
      </c>
      <c r="E78" s="1">
        <v>2562</v>
      </c>
      <c r="F78" s="1">
        <v>17590.37</v>
      </c>
      <c r="G78" s="1" t="s">
        <v>343</v>
      </c>
      <c r="M78" s="6" t="s">
        <v>231</v>
      </c>
      <c r="N78" s="7">
        <v>22464</v>
      </c>
      <c r="O78" s="7">
        <v>17590.37</v>
      </c>
    </row>
    <row r="79" spans="4:15" ht="28.8" x14ac:dyDescent="0.3">
      <c r="D79" s="1" t="s">
        <v>290</v>
      </c>
      <c r="E79" s="1">
        <v>1813.5</v>
      </c>
      <c r="F79" s="1">
        <v>17590.37</v>
      </c>
      <c r="G79" s="1" t="s">
        <v>343</v>
      </c>
      <c r="M79" s="6" t="s">
        <v>284</v>
      </c>
      <c r="N79" s="7">
        <v>3510</v>
      </c>
      <c r="O79" s="7">
        <v>17590.37</v>
      </c>
    </row>
    <row r="80" spans="4:15" ht="28.8" x14ac:dyDescent="0.3">
      <c r="D80" s="1" t="s">
        <v>291</v>
      </c>
      <c r="E80" s="1">
        <v>1713.5</v>
      </c>
      <c r="F80" s="1">
        <v>17590.37</v>
      </c>
      <c r="G80" s="1" t="s">
        <v>343</v>
      </c>
      <c r="M80" s="6" t="s">
        <v>240</v>
      </c>
      <c r="N80" s="7">
        <v>17696.3</v>
      </c>
      <c r="O80" s="7">
        <v>17590.37</v>
      </c>
    </row>
    <row r="81" spans="4:15" ht="28.8" x14ac:dyDescent="0.3">
      <c r="D81" s="1" t="s">
        <v>292</v>
      </c>
      <c r="E81" s="1">
        <v>1542.75</v>
      </c>
      <c r="F81" s="1">
        <v>17590.37</v>
      </c>
      <c r="G81" s="1" t="s">
        <v>343</v>
      </c>
      <c r="M81" s="6" t="s">
        <v>230</v>
      </c>
      <c r="N81" s="7">
        <v>23009</v>
      </c>
      <c r="O81" s="7">
        <v>17590.37</v>
      </c>
    </row>
    <row r="82" spans="4:15" x14ac:dyDescent="0.3">
      <c r="M82" s="6" t="s">
        <v>280</v>
      </c>
      <c r="N82" s="7">
        <v>4358.6000000000004</v>
      </c>
      <c r="O82" s="7">
        <v>17590.37</v>
      </c>
    </row>
    <row r="83" spans="4:15" x14ac:dyDescent="0.3">
      <c r="M83" s="6" t="s">
        <v>13</v>
      </c>
      <c r="N83" s="7">
        <v>1354458.5899999999</v>
      </c>
      <c r="O83" s="7">
        <v>1354458.4900000019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79E7-E645-48B9-9CE1-880A789B5342}">
  <dimension ref="D1:O21"/>
  <sheetViews>
    <sheetView workbookViewId="0">
      <selection activeCell="Q24" sqref="Q24"/>
    </sheetView>
  </sheetViews>
  <sheetFormatPr defaultRowHeight="14.4" x14ac:dyDescent="0.3"/>
  <cols>
    <col min="4" max="4" width="8.77734375" bestFit="1" customWidth="1"/>
    <col min="5" max="5" width="13.88671875" bestFit="1" customWidth="1"/>
    <col min="6" max="6" width="9" bestFit="1" customWidth="1"/>
    <col min="13" max="13" width="13" bestFit="1" customWidth="1"/>
    <col min="14" max="14" width="21" bestFit="1" customWidth="1"/>
    <col min="15" max="15" width="15.77734375" bestFit="1" customWidth="1"/>
  </cols>
  <sheetData>
    <row r="1" spans="4:15" x14ac:dyDescent="0.3">
      <c r="D1" t="s">
        <v>112</v>
      </c>
      <c r="M1" s="5" t="s">
        <v>11</v>
      </c>
      <c r="N1" t="s">
        <v>355</v>
      </c>
      <c r="O1" t="s">
        <v>356</v>
      </c>
    </row>
    <row r="2" spans="4:15" x14ac:dyDescent="0.3">
      <c r="M2" s="6" t="s">
        <v>349</v>
      </c>
      <c r="N2" s="7">
        <v>2</v>
      </c>
      <c r="O2" s="7">
        <v>33.83</v>
      </c>
    </row>
    <row r="3" spans="4:15" x14ac:dyDescent="0.3">
      <c r="M3" s="6" t="s">
        <v>31</v>
      </c>
      <c r="N3" s="7">
        <v>1</v>
      </c>
      <c r="O3" s="7">
        <v>4.5</v>
      </c>
    </row>
    <row r="4" spans="4:15" x14ac:dyDescent="0.3">
      <c r="D4" t="s">
        <v>300</v>
      </c>
      <c r="E4" t="s">
        <v>353</v>
      </c>
      <c r="F4" t="s">
        <v>354</v>
      </c>
      <c r="M4" s="6" t="s">
        <v>36</v>
      </c>
      <c r="N4" s="7">
        <v>2</v>
      </c>
      <c r="O4" s="7">
        <v>27.31</v>
      </c>
    </row>
    <row r="5" spans="4:15" x14ac:dyDescent="0.3">
      <c r="D5" s="1" t="s">
        <v>45</v>
      </c>
      <c r="E5" s="1">
        <v>3</v>
      </c>
      <c r="F5" s="1">
        <v>76.75</v>
      </c>
      <c r="M5" s="6" t="s">
        <v>56</v>
      </c>
      <c r="N5" s="7">
        <v>1</v>
      </c>
      <c r="O5" s="7">
        <v>10.75</v>
      </c>
    </row>
    <row r="6" spans="4:15" x14ac:dyDescent="0.3">
      <c r="D6" s="1" t="s">
        <v>22</v>
      </c>
      <c r="E6" s="1">
        <v>3</v>
      </c>
      <c r="F6" s="1">
        <v>37.6</v>
      </c>
      <c r="M6" s="6" t="s">
        <v>60</v>
      </c>
      <c r="N6" s="7">
        <v>1</v>
      </c>
      <c r="O6" s="7">
        <v>18.079999999999998</v>
      </c>
    </row>
    <row r="7" spans="4:15" x14ac:dyDescent="0.3">
      <c r="D7" s="1" t="s">
        <v>349</v>
      </c>
      <c r="E7" s="1">
        <v>2</v>
      </c>
      <c r="F7" s="1">
        <v>33.83</v>
      </c>
      <c r="M7" s="6" t="s">
        <v>45</v>
      </c>
      <c r="N7" s="7">
        <v>3</v>
      </c>
      <c r="O7" s="7">
        <v>76.75</v>
      </c>
    </row>
    <row r="8" spans="4:15" x14ac:dyDescent="0.3">
      <c r="D8" s="1" t="s">
        <v>350</v>
      </c>
      <c r="E8" s="1">
        <v>2</v>
      </c>
      <c r="F8" s="1">
        <v>30.46</v>
      </c>
      <c r="M8" s="6" t="s">
        <v>22</v>
      </c>
      <c r="N8" s="7">
        <v>3</v>
      </c>
      <c r="O8" s="7">
        <v>37.6</v>
      </c>
    </row>
    <row r="9" spans="4:15" x14ac:dyDescent="0.3">
      <c r="D9" s="1" t="s">
        <v>71</v>
      </c>
      <c r="E9" s="1">
        <v>1</v>
      </c>
      <c r="F9" s="1">
        <v>29.5</v>
      </c>
      <c r="M9" s="6" t="s">
        <v>81</v>
      </c>
      <c r="N9" s="7">
        <v>2</v>
      </c>
      <c r="O9" s="7">
        <v>27.36</v>
      </c>
    </row>
    <row r="10" spans="4:15" x14ac:dyDescent="0.3">
      <c r="D10" s="1" t="s">
        <v>81</v>
      </c>
      <c r="E10" s="1">
        <v>2</v>
      </c>
      <c r="F10" s="1">
        <v>27.36</v>
      </c>
      <c r="M10" s="6" t="s">
        <v>350</v>
      </c>
      <c r="N10" s="7">
        <v>2</v>
      </c>
      <c r="O10" s="7">
        <v>30.46</v>
      </c>
    </row>
    <row r="11" spans="4:15" x14ac:dyDescent="0.3">
      <c r="D11" s="1" t="s">
        <v>36</v>
      </c>
      <c r="E11" s="1">
        <v>2</v>
      </c>
      <c r="F11" s="1">
        <v>27.31</v>
      </c>
      <c r="M11" s="6" t="s">
        <v>352</v>
      </c>
      <c r="N11" s="7">
        <v>1</v>
      </c>
      <c r="O11" s="7">
        <v>11.12</v>
      </c>
    </row>
    <row r="12" spans="4:15" ht="28.8" x14ac:dyDescent="0.3">
      <c r="D12" s="1" t="s">
        <v>351</v>
      </c>
      <c r="E12" s="1">
        <v>1</v>
      </c>
      <c r="F12" s="1">
        <v>26.48</v>
      </c>
      <c r="M12" s="6" t="s">
        <v>88</v>
      </c>
      <c r="N12" s="7">
        <v>1</v>
      </c>
      <c r="O12" s="7">
        <v>20</v>
      </c>
    </row>
    <row r="13" spans="4:15" x14ac:dyDescent="0.3">
      <c r="D13" s="1" t="s">
        <v>33</v>
      </c>
      <c r="E13" s="1">
        <v>2</v>
      </c>
      <c r="F13" s="1">
        <v>22.81</v>
      </c>
      <c r="M13" s="6" t="s">
        <v>351</v>
      </c>
      <c r="N13" s="7">
        <v>1</v>
      </c>
      <c r="O13" s="7">
        <v>26.48</v>
      </c>
    </row>
    <row r="14" spans="4:15" x14ac:dyDescent="0.3">
      <c r="D14" s="1" t="s">
        <v>26</v>
      </c>
      <c r="E14" s="1">
        <v>4</v>
      </c>
      <c r="F14" s="1">
        <v>20.87</v>
      </c>
      <c r="M14" s="6" t="s">
        <v>71</v>
      </c>
      <c r="N14" s="7">
        <v>1</v>
      </c>
      <c r="O14" s="7">
        <v>29.5</v>
      </c>
    </row>
    <row r="15" spans="4:15" x14ac:dyDescent="0.3">
      <c r="D15" s="1" t="s">
        <v>88</v>
      </c>
      <c r="E15" s="1">
        <v>1</v>
      </c>
      <c r="F15" s="1">
        <v>20</v>
      </c>
      <c r="M15" s="6" t="s">
        <v>38</v>
      </c>
      <c r="N15" s="7">
        <v>2</v>
      </c>
      <c r="O15" s="7">
        <v>35</v>
      </c>
    </row>
    <row r="16" spans="4:15" x14ac:dyDescent="0.3">
      <c r="D16" s="1" t="s">
        <v>38</v>
      </c>
      <c r="E16" s="1">
        <v>1</v>
      </c>
      <c r="F16" s="1">
        <v>20</v>
      </c>
      <c r="M16" s="6" t="s">
        <v>33</v>
      </c>
      <c r="N16" s="7">
        <v>2</v>
      </c>
      <c r="O16" s="7">
        <v>22.81</v>
      </c>
    </row>
    <row r="17" spans="4:15" x14ac:dyDescent="0.3">
      <c r="D17" s="1" t="s">
        <v>60</v>
      </c>
      <c r="E17" s="1">
        <v>1</v>
      </c>
      <c r="F17" s="1">
        <v>18.079999999999998</v>
      </c>
      <c r="M17" s="6" t="s">
        <v>26</v>
      </c>
      <c r="N17" s="7">
        <v>4</v>
      </c>
      <c r="O17" s="7">
        <v>20.87</v>
      </c>
    </row>
    <row r="18" spans="4:15" x14ac:dyDescent="0.3">
      <c r="D18" s="1" t="s">
        <v>38</v>
      </c>
      <c r="E18" s="1">
        <v>1</v>
      </c>
      <c r="F18" s="1">
        <v>15</v>
      </c>
      <c r="M18" s="6" t="s">
        <v>13</v>
      </c>
      <c r="N18" s="7">
        <v>29</v>
      </c>
      <c r="O18" s="7">
        <v>432.42</v>
      </c>
    </row>
    <row r="19" spans="4:15" ht="28.8" x14ac:dyDescent="0.3">
      <c r="D19" s="1" t="s">
        <v>352</v>
      </c>
      <c r="E19" s="1">
        <v>1</v>
      </c>
      <c r="F19" s="1">
        <v>11.12</v>
      </c>
    </row>
    <row r="20" spans="4:15" x14ac:dyDescent="0.3">
      <c r="D20" s="1" t="s">
        <v>56</v>
      </c>
      <c r="E20" s="1">
        <v>1</v>
      </c>
      <c r="F20" s="1">
        <v>10.75</v>
      </c>
    </row>
    <row r="21" spans="4:15" x14ac:dyDescent="0.3">
      <c r="D21" s="1" t="s">
        <v>31</v>
      </c>
      <c r="E21" s="1">
        <v>1</v>
      </c>
      <c r="F21" s="1">
        <v>4.5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C9D3C-6BB7-4E0E-891F-AE7E165B0901}">
  <dimension ref="D1:N11"/>
  <sheetViews>
    <sheetView workbookViewId="0">
      <selection activeCell="M1" sqref="M1"/>
    </sheetView>
  </sheetViews>
  <sheetFormatPr defaultRowHeight="14.4" x14ac:dyDescent="0.3"/>
  <cols>
    <col min="4" max="4" width="13.5546875" bestFit="1" customWidth="1"/>
    <col min="5" max="5" width="13.88671875" bestFit="1" customWidth="1"/>
    <col min="13" max="13" width="13.88671875" bestFit="1" customWidth="1"/>
    <col min="14" max="14" width="21" bestFit="1" customWidth="1"/>
  </cols>
  <sheetData>
    <row r="1" spans="4:14" x14ac:dyDescent="0.3">
      <c r="M1" s="5" t="s">
        <v>11</v>
      </c>
      <c r="N1" t="s">
        <v>355</v>
      </c>
    </row>
    <row r="2" spans="4:14" x14ac:dyDescent="0.3">
      <c r="D2" t="s">
        <v>112</v>
      </c>
      <c r="M2" s="6" t="s">
        <v>122</v>
      </c>
      <c r="N2" s="7">
        <v>8</v>
      </c>
    </row>
    <row r="3" spans="4:14" x14ac:dyDescent="0.3">
      <c r="D3" t="s">
        <v>117</v>
      </c>
      <c r="E3" t="s">
        <v>353</v>
      </c>
      <c r="M3" s="6" t="s">
        <v>139</v>
      </c>
      <c r="N3" s="7">
        <v>8</v>
      </c>
    </row>
    <row r="4" spans="4:14" ht="28.8" x14ac:dyDescent="0.3">
      <c r="D4" s="1" t="s">
        <v>122</v>
      </c>
      <c r="E4" s="1">
        <v>8</v>
      </c>
      <c r="M4" s="6" t="s">
        <v>131</v>
      </c>
      <c r="N4" s="7">
        <v>6</v>
      </c>
    </row>
    <row r="5" spans="4:14" ht="28.8" x14ac:dyDescent="0.3">
      <c r="D5" s="1" t="s">
        <v>139</v>
      </c>
      <c r="E5" s="1">
        <v>8</v>
      </c>
      <c r="M5" s="6" t="s">
        <v>121</v>
      </c>
      <c r="N5" s="7">
        <v>4</v>
      </c>
    </row>
    <row r="6" spans="4:14" x14ac:dyDescent="0.3">
      <c r="D6" s="1" t="s">
        <v>120</v>
      </c>
      <c r="E6" s="1">
        <v>8</v>
      </c>
      <c r="M6" s="6" t="s">
        <v>169</v>
      </c>
      <c r="N6" s="7">
        <v>5</v>
      </c>
    </row>
    <row r="7" spans="4:14" ht="28.8" x14ac:dyDescent="0.3">
      <c r="D7" s="1" t="s">
        <v>131</v>
      </c>
      <c r="E7" s="1">
        <v>6</v>
      </c>
      <c r="M7" s="6" t="s">
        <v>190</v>
      </c>
      <c r="N7" s="7">
        <v>5</v>
      </c>
    </row>
    <row r="8" spans="4:14" ht="28.8" x14ac:dyDescent="0.3">
      <c r="D8" s="1" t="s">
        <v>169</v>
      </c>
      <c r="E8" s="1">
        <v>5</v>
      </c>
      <c r="M8" s="6" t="s">
        <v>213</v>
      </c>
      <c r="N8" s="7">
        <v>5</v>
      </c>
    </row>
    <row r="9" spans="4:14" ht="28.8" x14ac:dyDescent="0.3">
      <c r="D9" s="1" t="s">
        <v>190</v>
      </c>
      <c r="E9" s="1">
        <v>5</v>
      </c>
      <c r="M9" s="6" t="s">
        <v>120</v>
      </c>
      <c r="N9" s="7">
        <v>8</v>
      </c>
    </row>
    <row r="10" spans="4:14" x14ac:dyDescent="0.3">
      <c r="D10" s="1" t="s">
        <v>213</v>
      </c>
      <c r="E10" s="1">
        <v>5</v>
      </c>
      <c r="M10" s="6" t="s">
        <v>13</v>
      </c>
      <c r="N10" s="7">
        <v>49</v>
      </c>
    </row>
    <row r="11" spans="4:14" ht="28.8" x14ac:dyDescent="0.3">
      <c r="D11" s="1" t="s">
        <v>121</v>
      </c>
      <c r="E11" s="1">
        <v>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0EB7-48D4-42D2-878D-D161FAEA457B}">
  <dimension ref="D2:N66"/>
  <sheetViews>
    <sheetView tabSelected="1" workbookViewId="0">
      <selection activeCell="J7" sqref="J7"/>
    </sheetView>
  </sheetViews>
  <sheetFormatPr defaultRowHeight="14.4" x14ac:dyDescent="0.3"/>
  <cols>
    <col min="4" max="4" width="7.33203125" bestFit="1" customWidth="1"/>
    <col min="5" max="5" width="13.21875" bestFit="1" customWidth="1"/>
    <col min="6" max="6" width="9" bestFit="1" customWidth="1"/>
    <col min="13" max="13" width="17" bestFit="1" customWidth="1"/>
    <col min="14" max="14" width="15.77734375" bestFit="1" customWidth="1"/>
    <col min="15" max="16" width="11.77734375" bestFit="1" customWidth="1"/>
    <col min="17" max="17" width="13.88671875" bestFit="1" customWidth="1"/>
    <col min="18" max="18" width="14.33203125" bestFit="1" customWidth="1"/>
    <col min="19" max="19" width="12.21875" bestFit="1" customWidth="1"/>
    <col min="20" max="21" width="8.21875" bestFit="1" customWidth="1"/>
    <col min="22" max="22" width="11" bestFit="1" customWidth="1"/>
  </cols>
  <sheetData>
    <row r="2" spans="4:14" x14ac:dyDescent="0.3">
      <c r="D2" t="s">
        <v>112</v>
      </c>
    </row>
    <row r="3" spans="4:14" x14ac:dyDescent="0.3">
      <c r="D3" t="s">
        <v>300</v>
      </c>
      <c r="E3" t="s">
        <v>357</v>
      </c>
      <c r="F3" t="s">
        <v>354</v>
      </c>
    </row>
    <row r="4" spans="4:14" x14ac:dyDescent="0.3">
      <c r="D4" s="1" t="s">
        <v>349</v>
      </c>
      <c r="E4" s="1" t="s">
        <v>120</v>
      </c>
      <c r="F4" s="1">
        <v>62.5</v>
      </c>
      <c r="M4" s="5" t="s">
        <v>11</v>
      </c>
      <c r="N4" t="s">
        <v>356</v>
      </c>
    </row>
    <row r="5" spans="4:14" x14ac:dyDescent="0.3">
      <c r="D5" s="1" t="s">
        <v>349</v>
      </c>
      <c r="E5" s="1" t="s">
        <v>213</v>
      </c>
      <c r="F5" s="1">
        <v>53</v>
      </c>
      <c r="M5" s="6" t="s">
        <v>349</v>
      </c>
      <c r="N5" s="7">
        <v>234.75</v>
      </c>
    </row>
    <row r="6" spans="4:14" ht="28.8" x14ac:dyDescent="0.3">
      <c r="D6" s="1" t="s">
        <v>349</v>
      </c>
      <c r="E6" s="1" t="s">
        <v>139</v>
      </c>
      <c r="F6" s="1">
        <v>43.9</v>
      </c>
      <c r="M6" s="8" t="s">
        <v>122</v>
      </c>
      <c r="N6" s="7">
        <v>15</v>
      </c>
    </row>
    <row r="7" spans="4:14" ht="28.8" x14ac:dyDescent="0.3">
      <c r="D7" s="1" t="s">
        <v>349</v>
      </c>
      <c r="E7" s="1" t="s">
        <v>190</v>
      </c>
      <c r="F7" s="1">
        <v>35.9</v>
      </c>
      <c r="M7" s="8" t="s">
        <v>139</v>
      </c>
      <c r="N7" s="7">
        <v>43.9</v>
      </c>
    </row>
    <row r="8" spans="4:14" ht="28.8" x14ac:dyDescent="0.3">
      <c r="D8" s="1" t="s">
        <v>349</v>
      </c>
      <c r="E8" s="1" t="s">
        <v>131</v>
      </c>
      <c r="F8" s="1">
        <v>17.45</v>
      </c>
      <c r="M8" s="8" t="s">
        <v>131</v>
      </c>
      <c r="N8" s="7">
        <v>17.45</v>
      </c>
    </row>
    <row r="9" spans="4:14" ht="28.8" x14ac:dyDescent="0.3">
      <c r="D9" s="1" t="s">
        <v>349</v>
      </c>
      <c r="E9" s="1" t="s">
        <v>122</v>
      </c>
      <c r="F9" s="1">
        <v>15</v>
      </c>
      <c r="M9" s="8" t="s">
        <v>169</v>
      </c>
      <c r="N9" s="7">
        <v>7</v>
      </c>
    </row>
    <row r="10" spans="4:14" ht="28.8" x14ac:dyDescent="0.3">
      <c r="D10" s="1" t="s">
        <v>349</v>
      </c>
      <c r="E10" s="1" t="s">
        <v>169</v>
      </c>
      <c r="F10" s="1">
        <v>7</v>
      </c>
      <c r="M10" s="8" t="s">
        <v>190</v>
      </c>
      <c r="N10" s="7">
        <v>35.9</v>
      </c>
    </row>
    <row r="11" spans="4:14" ht="28.8" x14ac:dyDescent="0.3">
      <c r="D11" s="1" t="s">
        <v>31</v>
      </c>
      <c r="E11" s="1" t="s">
        <v>122</v>
      </c>
      <c r="F11" s="1">
        <v>4.5</v>
      </c>
      <c r="M11" s="8" t="s">
        <v>213</v>
      </c>
      <c r="N11" s="7">
        <v>53</v>
      </c>
    </row>
    <row r="12" spans="4:14" ht="28.8" x14ac:dyDescent="0.3">
      <c r="D12" s="1" t="s">
        <v>36</v>
      </c>
      <c r="E12" s="1" t="s">
        <v>131</v>
      </c>
      <c r="F12" s="1">
        <v>49.3</v>
      </c>
      <c r="M12" s="8" t="s">
        <v>120</v>
      </c>
      <c r="N12" s="7">
        <v>62.5</v>
      </c>
    </row>
    <row r="13" spans="4:14" ht="28.8" x14ac:dyDescent="0.3">
      <c r="D13" s="1" t="s">
        <v>36</v>
      </c>
      <c r="E13" s="1" t="s">
        <v>139</v>
      </c>
      <c r="F13" s="1">
        <v>28.5</v>
      </c>
      <c r="M13" s="6" t="s">
        <v>31</v>
      </c>
      <c r="N13" s="7">
        <v>4.5</v>
      </c>
    </row>
    <row r="14" spans="4:14" ht="28.8" x14ac:dyDescent="0.3">
      <c r="D14" s="1" t="s">
        <v>36</v>
      </c>
      <c r="E14" s="1" t="s">
        <v>190</v>
      </c>
      <c r="F14" s="1">
        <v>15.72</v>
      </c>
      <c r="M14" s="8" t="s">
        <v>122</v>
      </c>
      <c r="N14" s="7">
        <v>4.5</v>
      </c>
    </row>
    <row r="15" spans="4:14" x14ac:dyDescent="0.3">
      <c r="D15" s="1" t="s">
        <v>56</v>
      </c>
      <c r="E15" s="1" t="s">
        <v>120</v>
      </c>
      <c r="F15" s="1">
        <v>10.75</v>
      </c>
      <c r="M15" s="6" t="s">
        <v>36</v>
      </c>
      <c r="N15" s="7">
        <v>93.52</v>
      </c>
    </row>
    <row r="16" spans="4:14" ht="28.8" x14ac:dyDescent="0.3">
      <c r="D16" s="1" t="s">
        <v>60</v>
      </c>
      <c r="E16" s="1" t="s">
        <v>131</v>
      </c>
      <c r="F16" s="1">
        <v>18.12</v>
      </c>
      <c r="M16" s="8" t="s">
        <v>139</v>
      </c>
      <c r="N16" s="7">
        <v>28.5</v>
      </c>
    </row>
    <row r="17" spans="4:14" ht="28.8" x14ac:dyDescent="0.3">
      <c r="D17" s="1" t="s">
        <v>60</v>
      </c>
      <c r="E17" s="1" t="s">
        <v>122</v>
      </c>
      <c r="F17" s="1">
        <v>18</v>
      </c>
      <c r="M17" s="8" t="s">
        <v>131</v>
      </c>
      <c r="N17" s="7">
        <v>49.3</v>
      </c>
    </row>
    <row r="18" spans="4:14" ht="28.8" x14ac:dyDescent="0.3">
      <c r="D18" s="1" t="s">
        <v>45</v>
      </c>
      <c r="E18" s="1" t="s">
        <v>122</v>
      </c>
      <c r="F18" s="1">
        <v>140.75</v>
      </c>
      <c r="M18" s="8" t="s">
        <v>190</v>
      </c>
      <c r="N18" s="7">
        <v>15.72</v>
      </c>
    </row>
    <row r="19" spans="4:14" ht="28.8" x14ac:dyDescent="0.3">
      <c r="D19" s="1" t="s">
        <v>45</v>
      </c>
      <c r="E19" s="1" t="s">
        <v>121</v>
      </c>
      <c r="F19" s="1">
        <v>44.5</v>
      </c>
      <c r="M19" s="6" t="s">
        <v>56</v>
      </c>
      <c r="N19" s="7">
        <v>10.75</v>
      </c>
    </row>
    <row r="20" spans="4:14" x14ac:dyDescent="0.3">
      <c r="D20" s="1" t="s">
        <v>45</v>
      </c>
      <c r="E20" s="1" t="s">
        <v>120</v>
      </c>
      <c r="F20" s="1">
        <v>13.25</v>
      </c>
      <c r="M20" s="8" t="s">
        <v>120</v>
      </c>
      <c r="N20" s="7">
        <v>10.75</v>
      </c>
    </row>
    <row r="21" spans="4:14" ht="28.8" x14ac:dyDescent="0.3">
      <c r="D21" s="1" t="s">
        <v>22</v>
      </c>
      <c r="E21" s="1" t="s">
        <v>190</v>
      </c>
      <c r="F21" s="1">
        <v>123.79</v>
      </c>
      <c r="M21" s="6" t="s">
        <v>60</v>
      </c>
      <c r="N21" s="7">
        <v>36.120000000000005</v>
      </c>
    </row>
    <row r="22" spans="4:14" x14ac:dyDescent="0.3">
      <c r="D22" s="1" t="s">
        <v>22</v>
      </c>
      <c r="E22" s="1" t="s">
        <v>213</v>
      </c>
      <c r="F22" s="1">
        <v>45.6</v>
      </c>
      <c r="M22" s="8" t="s">
        <v>122</v>
      </c>
      <c r="N22" s="7">
        <v>18</v>
      </c>
    </row>
    <row r="23" spans="4:14" ht="28.8" x14ac:dyDescent="0.3">
      <c r="D23" s="1" t="s">
        <v>22</v>
      </c>
      <c r="E23" s="1" t="s">
        <v>169</v>
      </c>
      <c r="F23" s="1">
        <v>33.25</v>
      </c>
      <c r="M23" s="8" t="s">
        <v>131</v>
      </c>
      <c r="N23" s="7">
        <v>18.12</v>
      </c>
    </row>
    <row r="24" spans="4:14" ht="28.8" x14ac:dyDescent="0.3">
      <c r="D24" s="1" t="s">
        <v>22</v>
      </c>
      <c r="E24" s="1" t="s">
        <v>131</v>
      </c>
      <c r="F24" s="1">
        <v>29.71</v>
      </c>
      <c r="M24" s="6" t="s">
        <v>45</v>
      </c>
      <c r="N24" s="7">
        <v>198.5</v>
      </c>
    </row>
    <row r="25" spans="4:14" x14ac:dyDescent="0.3">
      <c r="D25" s="1" t="s">
        <v>22</v>
      </c>
      <c r="E25" s="1" t="s">
        <v>120</v>
      </c>
      <c r="F25" s="1">
        <v>25.89</v>
      </c>
      <c r="M25" s="8" t="s">
        <v>122</v>
      </c>
      <c r="N25" s="7">
        <v>140.75</v>
      </c>
    </row>
    <row r="26" spans="4:14" ht="28.8" x14ac:dyDescent="0.3">
      <c r="D26" s="1" t="s">
        <v>22</v>
      </c>
      <c r="E26" s="1" t="s">
        <v>139</v>
      </c>
      <c r="F26" s="1">
        <v>13</v>
      </c>
      <c r="M26" s="8" t="s">
        <v>121</v>
      </c>
      <c r="N26" s="7">
        <v>44.5</v>
      </c>
    </row>
    <row r="27" spans="4:14" ht="28.8" x14ac:dyDescent="0.3">
      <c r="D27" s="1" t="s">
        <v>22</v>
      </c>
      <c r="E27" s="1" t="s">
        <v>122</v>
      </c>
      <c r="F27" s="1">
        <v>7.75</v>
      </c>
      <c r="M27" s="8" t="s">
        <v>120</v>
      </c>
      <c r="N27" s="7">
        <v>13.25</v>
      </c>
    </row>
    <row r="28" spans="4:14" ht="28.8" x14ac:dyDescent="0.3">
      <c r="D28" s="1" t="s">
        <v>81</v>
      </c>
      <c r="E28" s="1" t="s">
        <v>169</v>
      </c>
      <c r="F28" s="1">
        <v>28.75</v>
      </c>
      <c r="M28" s="6" t="s">
        <v>22</v>
      </c>
      <c r="N28" s="7">
        <v>278.99</v>
      </c>
    </row>
    <row r="29" spans="4:14" ht="28.8" x14ac:dyDescent="0.3">
      <c r="D29" s="1" t="s">
        <v>81</v>
      </c>
      <c r="E29" s="1" t="s">
        <v>121</v>
      </c>
      <c r="F29" s="1">
        <v>26.43</v>
      </c>
      <c r="M29" s="8" t="s">
        <v>122</v>
      </c>
      <c r="N29" s="7">
        <v>7.75</v>
      </c>
    </row>
    <row r="30" spans="4:14" ht="28.8" x14ac:dyDescent="0.3">
      <c r="D30" s="1" t="s">
        <v>350</v>
      </c>
      <c r="E30" s="1" t="s">
        <v>190</v>
      </c>
      <c r="F30" s="1">
        <v>97</v>
      </c>
      <c r="M30" s="8" t="s">
        <v>139</v>
      </c>
      <c r="N30" s="7">
        <v>13</v>
      </c>
    </row>
    <row r="31" spans="4:14" x14ac:dyDescent="0.3">
      <c r="D31" s="1" t="s">
        <v>350</v>
      </c>
      <c r="E31" s="1" t="s">
        <v>120</v>
      </c>
      <c r="F31" s="1">
        <v>18.5</v>
      </c>
      <c r="M31" s="8" t="s">
        <v>131</v>
      </c>
      <c r="N31" s="7">
        <v>29.71</v>
      </c>
    </row>
    <row r="32" spans="4:14" x14ac:dyDescent="0.3">
      <c r="D32" s="1" t="s">
        <v>350</v>
      </c>
      <c r="E32" s="1" t="s">
        <v>213</v>
      </c>
      <c r="F32" s="1">
        <v>16.62</v>
      </c>
      <c r="M32" s="8" t="s">
        <v>169</v>
      </c>
      <c r="N32" s="7">
        <v>33.25</v>
      </c>
    </row>
    <row r="33" spans="4:14" ht="28.8" x14ac:dyDescent="0.3">
      <c r="D33" s="1" t="s">
        <v>350</v>
      </c>
      <c r="E33" s="1" t="s">
        <v>139</v>
      </c>
      <c r="F33" s="1">
        <v>15.5</v>
      </c>
      <c r="M33" s="8" t="s">
        <v>190</v>
      </c>
      <c r="N33" s="7">
        <v>123.79</v>
      </c>
    </row>
    <row r="34" spans="4:14" ht="28.8" x14ac:dyDescent="0.3">
      <c r="D34" s="1" t="s">
        <v>352</v>
      </c>
      <c r="E34" s="1" t="s">
        <v>131</v>
      </c>
      <c r="F34" s="1">
        <v>11.12</v>
      </c>
      <c r="M34" s="8" t="s">
        <v>213</v>
      </c>
      <c r="N34" s="7">
        <v>45.6</v>
      </c>
    </row>
    <row r="35" spans="4:14" ht="28.8" x14ac:dyDescent="0.3">
      <c r="D35" s="1" t="s">
        <v>88</v>
      </c>
      <c r="E35" s="1" t="s">
        <v>121</v>
      </c>
      <c r="F35" s="1">
        <v>20</v>
      </c>
      <c r="M35" s="8" t="s">
        <v>120</v>
      </c>
      <c r="N35" s="7">
        <v>25.89</v>
      </c>
    </row>
    <row r="36" spans="4:14" ht="28.8" x14ac:dyDescent="0.3">
      <c r="D36" s="1" t="s">
        <v>351</v>
      </c>
      <c r="E36" s="1" t="s">
        <v>122</v>
      </c>
      <c r="F36" s="1">
        <v>46</v>
      </c>
      <c r="M36" s="6" t="s">
        <v>81</v>
      </c>
      <c r="N36" s="7">
        <v>55.18</v>
      </c>
    </row>
    <row r="37" spans="4:14" ht="28.8" x14ac:dyDescent="0.3">
      <c r="D37" s="1" t="s">
        <v>351</v>
      </c>
      <c r="E37" s="1" t="s">
        <v>139</v>
      </c>
      <c r="F37" s="1">
        <v>19.45</v>
      </c>
      <c r="M37" s="8" t="s">
        <v>121</v>
      </c>
      <c r="N37" s="7">
        <v>26.43</v>
      </c>
    </row>
    <row r="38" spans="4:14" ht="28.8" x14ac:dyDescent="0.3">
      <c r="D38" s="1" t="s">
        <v>351</v>
      </c>
      <c r="E38" s="1" t="s">
        <v>169</v>
      </c>
      <c r="F38" s="1">
        <v>14</v>
      </c>
      <c r="M38" s="8" t="s">
        <v>169</v>
      </c>
      <c r="N38" s="7">
        <v>28.75</v>
      </c>
    </row>
    <row r="39" spans="4:14" ht="28.8" x14ac:dyDescent="0.3">
      <c r="D39" s="1" t="s">
        <v>71</v>
      </c>
      <c r="E39" s="1" t="s">
        <v>121</v>
      </c>
      <c r="F39" s="1">
        <v>29.5</v>
      </c>
      <c r="M39" s="6" t="s">
        <v>350</v>
      </c>
      <c r="N39" s="7">
        <v>147.62</v>
      </c>
    </row>
    <row r="40" spans="4:14" x14ac:dyDescent="0.3">
      <c r="D40" s="1" t="s">
        <v>38</v>
      </c>
      <c r="E40" s="1" t="s">
        <v>120</v>
      </c>
      <c r="F40" s="1">
        <v>20</v>
      </c>
      <c r="M40" s="8" t="s">
        <v>139</v>
      </c>
      <c r="N40" s="7">
        <v>15.5</v>
      </c>
    </row>
    <row r="41" spans="4:14" ht="28.8" x14ac:dyDescent="0.3">
      <c r="D41" s="1" t="s">
        <v>38</v>
      </c>
      <c r="E41" s="1" t="s">
        <v>169</v>
      </c>
      <c r="F41" s="1">
        <v>15</v>
      </c>
      <c r="M41" s="8" t="s">
        <v>190</v>
      </c>
      <c r="N41" s="7">
        <v>97</v>
      </c>
    </row>
    <row r="42" spans="4:14" ht="28.8" x14ac:dyDescent="0.3">
      <c r="D42" s="1" t="s">
        <v>33</v>
      </c>
      <c r="E42" s="1" t="s">
        <v>131</v>
      </c>
      <c r="F42" s="1">
        <v>28.18</v>
      </c>
      <c r="M42" s="8" t="s">
        <v>213</v>
      </c>
      <c r="N42" s="7">
        <v>16.62</v>
      </c>
    </row>
    <row r="43" spans="4:14" ht="28.8" x14ac:dyDescent="0.3">
      <c r="D43" s="1" t="s">
        <v>33</v>
      </c>
      <c r="E43" s="1" t="s">
        <v>122</v>
      </c>
      <c r="F43" s="1">
        <v>18.5</v>
      </c>
      <c r="M43" s="8" t="s">
        <v>120</v>
      </c>
      <c r="N43" s="7">
        <v>18.5</v>
      </c>
    </row>
    <row r="44" spans="4:14" ht="28.8" x14ac:dyDescent="0.3">
      <c r="D44" s="1" t="s">
        <v>33</v>
      </c>
      <c r="E44" s="1" t="s">
        <v>139</v>
      </c>
      <c r="F44" s="1">
        <v>10</v>
      </c>
      <c r="M44" s="6" t="s">
        <v>352</v>
      </c>
      <c r="N44" s="7">
        <v>11.12</v>
      </c>
    </row>
    <row r="45" spans="4:14" x14ac:dyDescent="0.3">
      <c r="D45" s="1" t="s">
        <v>26</v>
      </c>
      <c r="E45" s="1" t="s">
        <v>213</v>
      </c>
      <c r="F45" s="1">
        <v>30</v>
      </c>
      <c r="M45" s="8" t="s">
        <v>131</v>
      </c>
      <c r="N45" s="7">
        <v>11.12</v>
      </c>
    </row>
    <row r="46" spans="4:14" ht="28.8" x14ac:dyDescent="0.3">
      <c r="D46" s="1" t="s">
        <v>26</v>
      </c>
      <c r="E46" s="1" t="s">
        <v>139</v>
      </c>
      <c r="F46" s="1">
        <v>24.4</v>
      </c>
      <c r="M46" s="6" t="s">
        <v>88</v>
      </c>
      <c r="N46" s="7">
        <v>20</v>
      </c>
    </row>
    <row r="47" spans="4:14" ht="28.8" x14ac:dyDescent="0.3">
      <c r="D47" s="1" t="s">
        <v>26</v>
      </c>
      <c r="E47" s="1" t="s">
        <v>122</v>
      </c>
      <c r="F47" s="1">
        <v>15.33</v>
      </c>
      <c r="M47" s="8" t="s">
        <v>121</v>
      </c>
      <c r="N47" s="7">
        <v>20</v>
      </c>
    </row>
    <row r="48" spans="4:14" x14ac:dyDescent="0.3">
      <c r="D48" s="1" t="s">
        <v>26</v>
      </c>
      <c r="E48" s="1" t="s">
        <v>120</v>
      </c>
      <c r="F48" s="1">
        <v>14.02</v>
      </c>
      <c r="M48" s="6" t="s">
        <v>351</v>
      </c>
      <c r="N48" s="7">
        <v>79.45</v>
      </c>
    </row>
    <row r="49" spans="13:14" x14ac:dyDescent="0.3">
      <c r="M49" s="8" t="s">
        <v>122</v>
      </c>
      <c r="N49" s="7">
        <v>46</v>
      </c>
    </row>
    <row r="50" spans="13:14" x14ac:dyDescent="0.3">
      <c r="M50" s="8" t="s">
        <v>139</v>
      </c>
      <c r="N50" s="7">
        <v>19.45</v>
      </c>
    </row>
    <row r="51" spans="13:14" x14ac:dyDescent="0.3">
      <c r="M51" s="8" t="s">
        <v>169</v>
      </c>
      <c r="N51" s="7">
        <v>14</v>
      </c>
    </row>
    <row r="52" spans="13:14" x14ac:dyDescent="0.3">
      <c r="M52" s="6" t="s">
        <v>71</v>
      </c>
      <c r="N52" s="7">
        <v>29.5</v>
      </c>
    </row>
    <row r="53" spans="13:14" x14ac:dyDescent="0.3">
      <c r="M53" s="8" t="s">
        <v>121</v>
      </c>
      <c r="N53" s="7">
        <v>29.5</v>
      </c>
    </row>
    <row r="54" spans="13:14" x14ac:dyDescent="0.3">
      <c r="M54" s="6" t="s">
        <v>38</v>
      </c>
      <c r="N54" s="7">
        <v>35</v>
      </c>
    </row>
    <row r="55" spans="13:14" x14ac:dyDescent="0.3">
      <c r="M55" s="8" t="s">
        <v>169</v>
      </c>
      <c r="N55" s="7">
        <v>15</v>
      </c>
    </row>
    <row r="56" spans="13:14" x14ac:dyDescent="0.3">
      <c r="M56" s="8" t="s">
        <v>120</v>
      </c>
      <c r="N56" s="7">
        <v>20</v>
      </c>
    </row>
    <row r="57" spans="13:14" x14ac:dyDescent="0.3">
      <c r="M57" s="6" t="s">
        <v>33</v>
      </c>
      <c r="N57" s="7">
        <v>56.68</v>
      </c>
    </row>
    <row r="58" spans="13:14" x14ac:dyDescent="0.3">
      <c r="M58" s="8" t="s">
        <v>122</v>
      </c>
      <c r="N58" s="7">
        <v>18.5</v>
      </c>
    </row>
    <row r="59" spans="13:14" x14ac:dyDescent="0.3">
      <c r="M59" s="8" t="s">
        <v>139</v>
      </c>
      <c r="N59" s="7">
        <v>10</v>
      </c>
    </row>
    <row r="60" spans="13:14" x14ac:dyDescent="0.3">
      <c r="M60" s="8" t="s">
        <v>131</v>
      </c>
      <c r="N60" s="7">
        <v>28.18</v>
      </c>
    </row>
    <row r="61" spans="13:14" x14ac:dyDescent="0.3">
      <c r="M61" s="6" t="s">
        <v>26</v>
      </c>
      <c r="N61" s="7">
        <v>83.749999999999986</v>
      </c>
    </row>
    <row r="62" spans="13:14" x14ac:dyDescent="0.3">
      <c r="M62" s="8" t="s">
        <v>122</v>
      </c>
      <c r="N62" s="7">
        <v>15.33</v>
      </c>
    </row>
    <row r="63" spans="13:14" x14ac:dyDescent="0.3">
      <c r="M63" s="8" t="s">
        <v>139</v>
      </c>
      <c r="N63" s="7">
        <v>24.4</v>
      </c>
    </row>
    <row r="64" spans="13:14" x14ac:dyDescent="0.3">
      <c r="M64" s="8" t="s">
        <v>213</v>
      </c>
      <c r="N64" s="7">
        <v>30</v>
      </c>
    </row>
    <row r="65" spans="13:14" x14ac:dyDescent="0.3">
      <c r="M65" s="8" t="s">
        <v>120</v>
      </c>
      <c r="N65" s="7">
        <v>14.02</v>
      </c>
    </row>
    <row r="66" spans="13:14" x14ac:dyDescent="0.3">
      <c r="M66" s="6" t="s">
        <v>13</v>
      </c>
      <c r="N66" s="7">
        <v>1375.4299999999998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1EE0123C0754BBFC9BBF29FE0BCB7" ma:contentTypeVersion="3" ma:contentTypeDescription="Create a new document." ma:contentTypeScope="" ma:versionID="09cc18eb28c59b227f9a30bc3cf69a7b">
  <xsd:schema xmlns:xsd="http://www.w3.org/2001/XMLSchema" xmlns:xs="http://www.w3.org/2001/XMLSchema" xmlns:p="http://schemas.microsoft.com/office/2006/metadata/properties" xmlns:ns3="3faca835-9f4a-4471-a2b1-b33bbf32f242" targetNamespace="http://schemas.microsoft.com/office/2006/metadata/properties" ma:root="true" ma:fieldsID="055a8a629ca6c33332a39e344e1a1add" ns3:_="">
    <xsd:import namespace="3faca835-9f4a-4471-a2b1-b33bbf32f2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aca835-9f4a-4471-a2b1-b33bbf32f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3CFD85-C4A1-4D6C-923A-C101466B0CD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A453752-53E7-4EAF-9CF7-7C9BAD71D8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aca835-9f4a-4471-a2b1-b33bbf32f2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249095-9FBC-4BDE-83B9-A464E7421EF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2953165-7C5E-4AAB-A80E-E4B29107DC74}">
  <ds:schemaRefs>
    <ds:schemaRef ds:uri="http://purl.org/dc/dcmitype/"/>
    <ds:schemaRef ds:uri="http://schemas.microsoft.com/office/2006/documentManagement/types"/>
    <ds:schemaRef ds:uri="3faca835-9f4a-4471-a2b1-b33bbf32f242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</dc:creator>
  <cp:lastModifiedBy>Nitish Kopparaju</cp:lastModifiedBy>
  <dcterms:created xsi:type="dcterms:W3CDTF">2026-04-01T12:15:17Z</dcterms:created>
  <dcterms:modified xsi:type="dcterms:W3CDTF">2026-04-01T15:56:29Z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0x01010004D1EE0123C0754BBFC9BBF29FE0BCB7</vt:lpwstr>
  </property>
</Properties>
</file>